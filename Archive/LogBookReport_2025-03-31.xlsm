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5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365tevelmetro-my.sharepoint.com/personal/superuser_tevelmetro_co_il/Documents/IT-FOLDER/NOC/Shifts/Logbook/"/>
    </mc:Choice>
  </mc:AlternateContent>
  <xr:revisionPtr revIDLastSave="0" documentId="8_{2734C947-702F-48FA-A859-41B9DDCD390B}" xr6:coauthVersionLast="47" xr6:coauthVersionMax="47" xr10:uidLastSave="{00000000-0000-0000-0000-000000000000}"/>
  <bookViews>
    <workbookView xWindow="-120" yWindow="-120" windowWidth="29040" windowHeight="15840" xr2:uid="{00000000-000D-0000-FFFF-FFFF00000000}"/>
  </bookViews>
  <sheets>
    <sheet name="Main" sheetId="1" r:id="rId1"/>
    <sheet name="DB" sheetId="2" state="hidden" r:id="rId2"/>
    <sheet name="גיבויים" sheetId="8" r:id="rId3"/>
    <sheet name="עדכונים ואירועים(העברת משמרת)" sheetId="7" r:id="rId4"/>
    <sheet name="FYI" sheetId="9" state="hidden" r:id="rId5"/>
    <sheet name="עבודות מתוכננות" sheetId="18" r:id="rId6"/>
    <sheet name="Tasks" sheetId="11" r:id="rId7"/>
  </sheets>
  <definedNames>
    <definedName name="_xlnm._FilterDatabase" localSheetId="2" hidden="1">גיבויים!$B$3:$G$3</definedName>
    <definedName name="Calendars">OFFSET(#REF!,0,0,COUNTA(#REF!)-1,1)</definedName>
    <definedName name="currentmonth" localSheetId="5">'עבודות מתוכננות'!$C$2</definedName>
    <definedName name="currentmonth">#REF!</definedName>
    <definedName name="currentyear" localSheetId="5">'עבודות מתוכננות'!$B$2</definedName>
    <definedName name="currentyear">#REF!</definedName>
    <definedName name="firstday" localSheetId="5">'עבודות מתוכננות'!$L$1</definedName>
    <definedName name="firstday">#REF!</definedName>
    <definedName name="lastday" localSheetId="5">'עבודות מתוכננות'!$J$1</definedName>
    <definedName name="lastday">#REF!</definedName>
    <definedName name="_xlnm.Print_Area" localSheetId="5">'עבודות מתוכננות'!$B$3:$H$40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8" i="1" l="1"/>
  <c r="E18" i="1"/>
  <c r="G17" i="1"/>
  <c r="E17" i="1"/>
  <c r="G16" i="1"/>
  <c r="E16" i="1"/>
  <c r="G15" i="1"/>
  <c r="E15" i="1"/>
  <c r="G14" i="1"/>
  <c r="E14" i="1"/>
  <c r="G13" i="1"/>
  <c r="E13" i="1"/>
  <c r="G12" i="1"/>
  <c r="E12" i="1"/>
  <c r="G11" i="1"/>
  <c r="E11" i="1"/>
  <c r="G10" i="1"/>
  <c r="E10" i="1"/>
  <c r="S18" i="18" l="1" a="1"/>
  <c r="S18" i="18" s="1"/>
  <c r="C2" i="18" a="1"/>
  <c r="C2" i="18" s="1"/>
  <c r="B2" i="18"/>
  <c r="J1" i="18" l="1"/>
  <c r="B3" i="18"/>
  <c r="L1" i="18"/>
  <c r="B5" i="18" s="1"/>
  <c r="B10" i="18" s="1" a="1"/>
  <c r="B10" i="18" s="1"/>
  <c r="C32" i="1"/>
  <c r="C31" i="1"/>
  <c r="C30" i="1"/>
  <c r="C29" i="1"/>
  <c r="C28" i="1"/>
  <c r="C27" i="1"/>
  <c r="C26" i="1"/>
  <c r="C25" i="1"/>
  <c r="C24" i="1"/>
  <c r="C23" i="1"/>
  <c r="C22" i="1"/>
  <c r="C21" i="1"/>
  <c r="C20" i="1"/>
  <c r="C19" i="1"/>
  <c r="C18" i="1"/>
  <c r="C17" i="1"/>
  <c r="C16" i="1"/>
  <c r="C15" i="1"/>
  <c r="C33" i="1"/>
  <c r="C5" i="18" l="1"/>
  <c r="C8" i="18" s="1" a="1"/>
  <c r="C8" i="18" s="1"/>
  <c r="B9" i="18" a="1"/>
  <c r="B9" i="18" s="1"/>
  <c r="B8" i="18" a="1"/>
  <c r="B8" i="18" s="1"/>
  <c r="B7" i="18" a="1"/>
  <c r="B7" i="18" s="1"/>
  <c r="B6" i="18" a="1"/>
  <c r="B6" i="18" s="1"/>
  <c r="C10" i="18" l="1" a="1"/>
  <c r="C10" i="18" s="1"/>
  <c r="D5" i="18"/>
  <c r="D9" i="18" s="1" a="1"/>
  <c r="D9" i="18" s="1"/>
  <c r="C6" i="18" a="1"/>
  <c r="C6" i="18" s="1"/>
  <c r="C7" i="18" a="1"/>
  <c r="C7" i="18" s="1"/>
  <c r="C9" i="18" a="1"/>
  <c r="C9" i="18" s="1"/>
  <c r="D6" i="18" l="1" a="1"/>
  <c r="D6" i="18" s="1"/>
  <c r="D8" i="18" a="1"/>
  <c r="D8" i="18" s="1"/>
  <c r="E5" i="18"/>
  <c r="E10" i="18" s="1" a="1"/>
  <c r="E10" i="18" s="1"/>
  <c r="D7" i="18" a="1"/>
  <c r="D7" i="18" s="1"/>
  <c r="D10" i="18" a="1"/>
  <c r="D10" i="18" s="1"/>
  <c r="E6" i="18" l="1" a="1"/>
  <c r="E6" i="18" s="1"/>
  <c r="E9" i="18" a="1"/>
  <c r="E9" i="18" s="1"/>
  <c r="E8" i="18" a="1"/>
  <c r="E8" i="18" s="1"/>
  <c r="E7" i="18" a="1"/>
  <c r="E7" i="18" s="1"/>
  <c r="F5" i="18"/>
  <c r="F7" i="18" s="1" a="1"/>
  <c r="F7" i="18" s="1"/>
  <c r="F6" i="18" l="1" a="1"/>
  <c r="F6" i="18" s="1"/>
  <c r="F9" i="18" a="1"/>
  <c r="F9" i="18" s="1"/>
  <c r="F10" i="18" a="1"/>
  <c r="F10" i="18" s="1"/>
  <c r="G5" i="18"/>
  <c r="G7" i="18" s="1" a="1"/>
  <c r="G7" i="18" s="1"/>
  <c r="F8" i="18" a="1"/>
  <c r="F8" i="18" s="1"/>
  <c r="H5" i="18" l="1"/>
  <c r="H7" i="18" s="1" a="1"/>
  <c r="H7" i="18" s="1"/>
  <c r="G6" i="18" a="1"/>
  <c r="G6" i="18" s="1"/>
  <c r="G9" i="18" a="1"/>
  <c r="G9" i="18" s="1"/>
  <c r="G10" i="18" a="1"/>
  <c r="G10" i="18" s="1"/>
  <c r="G8" i="18" a="1"/>
  <c r="G8" i="18" s="1"/>
  <c r="H9" i="18" l="1" a="1"/>
  <c r="H9" i="18" s="1"/>
  <c r="B11" i="18"/>
  <c r="B16" i="18" s="1" a="1"/>
  <c r="B16" i="18" s="1"/>
  <c r="H10" i="18" a="1"/>
  <c r="H10" i="18" s="1"/>
  <c r="H8" i="18" a="1"/>
  <c r="H8" i="18" s="1"/>
  <c r="H6" i="18" a="1"/>
  <c r="H6" i="18" s="1"/>
  <c r="C11" i="18" l="1"/>
  <c r="D11" i="18" s="1"/>
  <c r="B14" i="18" a="1"/>
  <c r="B14" i="18" s="1"/>
  <c r="B13" i="18" a="1"/>
  <c r="B13" i="18" s="1"/>
  <c r="B12" i="18" a="1"/>
  <c r="B12" i="18" s="1"/>
  <c r="B15" i="18" a="1"/>
  <c r="B15" i="18" s="1"/>
  <c r="C14" i="18" l="1" a="1"/>
  <c r="C14" i="18" s="1"/>
  <c r="C13" i="18" a="1"/>
  <c r="C13" i="18" s="1"/>
  <c r="C16" i="18" a="1"/>
  <c r="C16" i="18" s="1"/>
  <c r="C12" i="18" a="1"/>
  <c r="C12" i="18" s="1"/>
  <c r="C15" i="18" a="1"/>
  <c r="C15" i="18" s="1"/>
  <c r="D14" i="18" a="1"/>
  <c r="D14" i="18" s="1"/>
  <c r="D13" i="18" a="1"/>
  <c r="D13" i="18" s="1"/>
  <c r="D15" i="18" a="1"/>
  <c r="D15" i="18" s="1"/>
  <c r="D16" i="18" a="1"/>
  <c r="D16" i="18" s="1"/>
  <c r="E11" i="18"/>
  <c r="D12" i="18" a="1"/>
  <c r="D12" i="18" s="1"/>
  <c r="E15" i="18" l="1" a="1"/>
  <c r="E15" i="18" s="1"/>
  <c r="E16" i="18" a="1"/>
  <c r="E16" i="18" s="1"/>
  <c r="E12" i="18" a="1"/>
  <c r="E12" i="18" s="1"/>
  <c r="E13" i="18" a="1"/>
  <c r="E13" i="18" s="1"/>
  <c r="F11" i="18"/>
  <c r="E14" i="18" a="1"/>
  <c r="E14" i="18" s="1"/>
  <c r="F16" i="18" l="1" a="1"/>
  <c r="F16" i="18" s="1"/>
  <c r="F12" i="18" a="1"/>
  <c r="F12" i="18" s="1"/>
  <c r="F14" i="18" a="1"/>
  <c r="F14" i="18" s="1"/>
  <c r="F13" i="18" a="1"/>
  <c r="F13" i="18" s="1"/>
  <c r="G11" i="18"/>
  <c r="F15" i="18" a="1"/>
  <c r="F15" i="18" s="1"/>
  <c r="G13" i="18" l="1" a="1"/>
  <c r="G13" i="18" s="1"/>
  <c r="G15" i="18" a="1"/>
  <c r="G15" i="18" s="1"/>
  <c r="H11" i="18"/>
  <c r="G14" i="18" a="1"/>
  <c r="G14" i="18" s="1"/>
  <c r="G16" i="18" a="1"/>
  <c r="G16" i="18" s="1"/>
  <c r="G12" i="18" a="1"/>
  <c r="G12" i="18" s="1"/>
  <c r="H14" i="18" l="1" a="1"/>
  <c r="H14" i="18" s="1"/>
  <c r="H16" i="18" a="1"/>
  <c r="H16" i="18" s="1"/>
  <c r="H12" i="18" a="1"/>
  <c r="H12" i="18" s="1"/>
  <c r="B17" i="18"/>
  <c r="H15" i="18" a="1"/>
  <c r="H15" i="18" s="1"/>
  <c r="H13" i="18" a="1"/>
  <c r="H13" i="18" s="1"/>
  <c r="B20" i="18" l="1" a="1"/>
  <c r="B20" i="18" s="1"/>
  <c r="B21" i="18" a="1"/>
  <c r="B21" i="18" s="1"/>
  <c r="B22" i="18" a="1"/>
  <c r="B22" i="18" s="1"/>
  <c r="C17" i="18"/>
  <c r="B19" i="18" a="1"/>
  <c r="B19" i="18" s="1"/>
  <c r="B18" i="18" a="1"/>
  <c r="B18" i="18" s="1"/>
  <c r="C21" i="18" l="1" a="1"/>
  <c r="C21" i="18" s="1"/>
  <c r="C22" i="18" a="1"/>
  <c r="C22" i="18" s="1"/>
  <c r="D17" i="18"/>
  <c r="C19" i="18" a="1"/>
  <c r="C19" i="18" s="1"/>
  <c r="C18" i="18" a="1"/>
  <c r="C18" i="18" s="1"/>
  <c r="C20" i="18" a="1"/>
  <c r="C20" i="18" s="1"/>
  <c r="D22" i="18" l="1" a="1"/>
  <c r="D22" i="18" s="1"/>
  <c r="D19" i="18" a="1"/>
  <c r="D19" i="18" s="1"/>
  <c r="D18" i="18" a="1"/>
  <c r="D18" i="18" s="1"/>
  <c r="E17" i="18"/>
  <c r="D20" i="18" a="1"/>
  <c r="D20" i="18" s="1"/>
  <c r="D21" i="18" a="1"/>
  <c r="D21" i="18" s="1"/>
  <c r="E19" i="18" l="1" a="1"/>
  <c r="E19" i="18" s="1"/>
  <c r="E18" i="18" a="1"/>
  <c r="E18" i="18" s="1"/>
  <c r="E20" i="18" a="1"/>
  <c r="E20" i="18" s="1"/>
  <c r="E21" i="18" a="1"/>
  <c r="E21" i="18" s="1"/>
  <c r="E22" i="18" a="1"/>
  <c r="E22" i="18" s="1"/>
  <c r="F17" i="18"/>
  <c r="F20" i="18" l="1" a="1"/>
  <c r="F20" i="18" s="1"/>
  <c r="G17" i="18"/>
  <c r="F21" i="18" a="1"/>
  <c r="F21" i="18" s="1"/>
  <c r="F22" i="18" a="1"/>
  <c r="F22" i="18" s="1"/>
  <c r="F19" i="18" a="1"/>
  <c r="F19" i="18" s="1"/>
  <c r="F18" i="18" a="1"/>
  <c r="F18" i="18" s="1"/>
  <c r="G21" i="18" l="1" a="1"/>
  <c r="G21" i="18" s="1"/>
  <c r="G22" i="18" a="1"/>
  <c r="G22" i="18" s="1"/>
  <c r="G19" i="18" a="1"/>
  <c r="G19" i="18" s="1"/>
  <c r="G18" i="18" a="1"/>
  <c r="G18" i="18" s="1"/>
  <c r="H17" i="18"/>
  <c r="G20" i="18" a="1"/>
  <c r="G20" i="18" s="1"/>
  <c r="H22" i="18" l="1" a="1"/>
  <c r="H22" i="18" s="1"/>
  <c r="H19" i="18" a="1"/>
  <c r="H19" i="18" s="1"/>
  <c r="H18" i="18" a="1"/>
  <c r="H18" i="18" s="1"/>
  <c r="H20" i="18" a="1"/>
  <c r="H20" i="18" s="1"/>
  <c r="B23" i="18"/>
  <c r="H21" i="18" a="1"/>
  <c r="H21" i="18" s="1"/>
  <c r="B26" i="18" l="1" a="1"/>
  <c r="B26" i="18" s="1"/>
  <c r="B24" i="18" a="1"/>
  <c r="B24" i="18" s="1"/>
  <c r="B27" i="18" a="1"/>
  <c r="B27" i="18" s="1"/>
  <c r="C23" i="18"/>
  <c r="B28" i="18" a="1"/>
  <c r="B28" i="18" s="1"/>
  <c r="B25" i="18" a="1"/>
  <c r="B25" i="18" s="1"/>
  <c r="C27" i="18" l="1" a="1"/>
  <c r="C27" i="18" s="1"/>
  <c r="D23" i="18"/>
  <c r="C28" i="18" a="1"/>
  <c r="C28" i="18" s="1"/>
  <c r="C24" i="18" a="1"/>
  <c r="C24" i="18" s="1"/>
  <c r="C25" i="18" a="1"/>
  <c r="C25" i="18" s="1"/>
  <c r="C26" i="18" a="1"/>
  <c r="C26" i="18" s="1"/>
  <c r="D28" i="18" l="1" a="1"/>
  <c r="D28" i="18" s="1"/>
  <c r="D24" i="18" a="1"/>
  <c r="D24" i="18" s="1"/>
  <c r="E23" i="18"/>
  <c r="D26" i="18" a="1"/>
  <c r="D26" i="18" s="1"/>
  <c r="D25" i="18" a="1"/>
  <c r="D25" i="18" s="1"/>
  <c r="D27" i="18" a="1"/>
  <c r="D27" i="18" s="1"/>
  <c r="F23" i="18" l="1"/>
  <c r="E25" i="18" a="1"/>
  <c r="E25" i="18" s="1"/>
  <c r="E26" i="18" a="1"/>
  <c r="E26" i="18" s="1"/>
  <c r="E27" i="18" a="1"/>
  <c r="E27" i="18" s="1"/>
  <c r="E24" i="18" a="1"/>
  <c r="E24" i="18" s="1"/>
  <c r="E28" i="18" a="1"/>
  <c r="E28" i="18" s="1"/>
  <c r="F26" i="18" l="1" a="1"/>
  <c r="F26" i="18" s="1"/>
  <c r="F28" i="18" a="1"/>
  <c r="F28" i="18" s="1"/>
  <c r="F24" i="18" a="1"/>
  <c r="F24" i="18" s="1"/>
  <c r="F27" i="18" a="1"/>
  <c r="F27" i="18" s="1"/>
  <c r="F25" i="18" a="1"/>
  <c r="F25" i="18" s="1"/>
  <c r="G23" i="18"/>
  <c r="H23" i="18" l="1"/>
  <c r="G27" i="18" a="1"/>
  <c r="G27" i="18" s="1"/>
  <c r="G28" i="18" a="1"/>
  <c r="G28" i="18" s="1"/>
  <c r="G24" i="18" a="1"/>
  <c r="G24" i="18" s="1"/>
  <c r="G25" i="18" a="1"/>
  <c r="G25" i="18" s="1"/>
  <c r="G26" i="18" a="1"/>
  <c r="G26" i="18" s="1"/>
  <c r="H28" i="18" l="1" a="1"/>
  <c r="H28" i="18" s="1"/>
  <c r="H24" i="18" a="1"/>
  <c r="H24" i="18" s="1"/>
  <c r="H26" i="18" a="1"/>
  <c r="H26" i="18" s="1"/>
  <c r="H25" i="18" a="1"/>
  <c r="H25" i="18" s="1"/>
  <c r="B29" i="18"/>
  <c r="H27" i="18" a="1"/>
  <c r="H27" i="18" s="1"/>
  <c r="B33" i="18" l="1" a="1"/>
  <c r="B33" i="18" s="1"/>
  <c r="C29" i="18"/>
  <c r="C30" i="18" s="1" a="1"/>
  <c r="C30" i="18" s="1"/>
  <c r="B34" i="18" a="1"/>
  <c r="B34" i="18" s="1"/>
  <c r="B30" i="18" a="1"/>
  <c r="B30" i="18" s="1"/>
  <c r="B31" i="18" a="1"/>
  <c r="B31" i="18" s="1"/>
  <c r="B32" i="18" a="1"/>
  <c r="B32" i="18" s="1"/>
  <c r="C34" i="18" l="1" a="1"/>
  <c r="C34" i="18" s="1"/>
  <c r="C31" i="18" a="1"/>
  <c r="C31" i="18" s="1"/>
  <c r="C32" i="18" a="1"/>
  <c r="C32" i="18" s="1"/>
  <c r="C33" i="18" a="1"/>
  <c r="C33" i="18" s="1"/>
  <c r="D29" i="18"/>
  <c r="D31" i="18" l="1" a="1"/>
  <c r="D31" i="18" s="1"/>
  <c r="D32" i="18" a="1"/>
  <c r="D32" i="18" s="1"/>
  <c r="D33" i="18" a="1"/>
  <c r="D33" i="18" s="1"/>
  <c r="D34" i="18" a="1"/>
  <c r="D34" i="18" s="1"/>
  <c r="D30" i="18" a="1"/>
  <c r="D30" i="18" s="1"/>
  <c r="E29" i="18"/>
  <c r="E32" i="18" l="1" a="1"/>
  <c r="E32" i="18" s="1"/>
  <c r="E33" i="18" a="1"/>
  <c r="E33" i="18" s="1"/>
  <c r="E34" i="18" a="1"/>
  <c r="E34" i="18" s="1"/>
  <c r="E30" i="18" a="1"/>
  <c r="E30" i="18" s="1"/>
  <c r="F29" i="18"/>
  <c r="E31" i="18" a="1"/>
  <c r="E31" i="18" s="1"/>
  <c r="F33" i="18" l="1" a="1"/>
  <c r="F33" i="18" s="1"/>
  <c r="F34" i="18" a="1"/>
  <c r="F34" i="18" s="1"/>
  <c r="F30" i="18" a="1"/>
  <c r="F30" i="18" s="1"/>
  <c r="F31" i="18" a="1"/>
  <c r="F31" i="18" s="1"/>
  <c r="G29" i="18"/>
  <c r="F32" i="18" a="1"/>
  <c r="F32" i="18" s="1"/>
  <c r="G34" i="18" l="1" a="1"/>
  <c r="G34" i="18" s="1"/>
  <c r="G30" i="18" a="1"/>
  <c r="G30" i="18" s="1"/>
  <c r="G31" i="18" a="1"/>
  <c r="G31" i="18" s="1"/>
  <c r="H29" i="18"/>
  <c r="G32" i="18" a="1"/>
  <c r="G32" i="18" s="1"/>
  <c r="G33" i="18" a="1"/>
  <c r="G33" i="18" s="1"/>
  <c r="H31" i="18" l="1" a="1"/>
  <c r="H31" i="18" s="1"/>
  <c r="H32" i="18" a="1"/>
  <c r="H32" i="18" s="1"/>
  <c r="B35" i="18"/>
  <c r="H33" i="18" a="1"/>
  <c r="H33" i="18" s="1"/>
  <c r="H34" i="18" a="1"/>
  <c r="H34" i="18" s="1"/>
  <c r="H30" i="18" a="1"/>
  <c r="H30" i="18" s="1"/>
  <c r="B39" i="18" l="1" a="1"/>
  <c r="B39" i="18" s="1"/>
  <c r="C35" i="18"/>
  <c r="B37" i="18" a="1"/>
  <c r="B37" i="18" s="1"/>
  <c r="B40" i="18" a="1"/>
  <c r="B40" i="18" s="1"/>
  <c r="B36" i="18" a="1"/>
  <c r="B36" i="18" s="1"/>
  <c r="B38" i="18" a="1"/>
  <c r="B38" i="18" s="1"/>
  <c r="D35" i="18" l="1"/>
  <c r="C40" i="18" a="1"/>
  <c r="C40" i="18" s="1"/>
  <c r="C36" i="18" a="1"/>
  <c r="C36" i="18" s="1"/>
  <c r="C37" i="18" a="1"/>
  <c r="C37" i="18" s="1"/>
  <c r="C38" i="18" a="1"/>
  <c r="C38" i="18" s="1"/>
  <c r="C39" i="18" a="1"/>
  <c r="C39" i="18" s="1"/>
  <c r="D37" i="18" l="1" a="1"/>
  <c r="D37" i="18" s="1"/>
  <c r="D38" i="18" a="1"/>
  <c r="D38" i="18" s="1"/>
  <c r="D39" i="18" a="1"/>
  <c r="D39" i="18" s="1"/>
  <c r="D40" i="18" a="1"/>
  <c r="D40" i="18" s="1"/>
  <c r="D36" i="18" a="1"/>
  <c r="D36" i="18" s="1"/>
  <c r="E35" i="18"/>
  <c r="F35" i="18" l="1"/>
  <c r="E38" i="18" a="1"/>
  <c r="E38" i="18" s="1"/>
  <c r="E36" i="18" a="1"/>
  <c r="E36" i="18" s="1"/>
  <c r="E37" i="18" a="1"/>
  <c r="E37" i="18" s="1"/>
  <c r="E39" i="18" a="1"/>
  <c r="E39" i="18" s="1"/>
  <c r="E40" i="18" a="1"/>
  <c r="E40" i="18" s="1"/>
  <c r="F39" i="18" l="1" a="1"/>
  <c r="F39" i="18" s="1"/>
  <c r="F40" i="18" a="1"/>
  <c r="F40" i="18" s="1"/>
  <c r="F36" i="18" a="1"/>
  <c r="F36" i="18" s="1"/>
  <c r="F37" i="18" a="1"/>
  <c r="F37" i="18" s="1"/>
  <c r="G35" i="18"/>
  <c r="F38" i="18" a="1"/>
  <c r="F38" i="18" s="1"/>
  <c r="G39" i="18" l="1" a="1"/>
  <c r="G39" i="18" s="1"/>
  <c r="G40" i="18" a="1"/>
  <c r="G40" i="18" s="1"/>
  <c r="G36" i="18" a="1"/>
  <c r="G36" i="18" s="1"/>
  <c r="G38" i="18" a="1"/>
  <c r="G38" i="18" s="1"/>
  <c r="G37" i="18" a="1"/>
  <c r="G37" i="18" s="1"/>
  <c r="H35" i="18"/>
  <c r="H36" i="18" l="1" a="1"/>
  <c r="H36" i="18" s="1"/>
  <c r="H37" i="18" a="1"/>
  <c r="H37" i="18" s="1"/>
  <c r="H39" i="18" a="1"/>
  <c r="H39" i="18" s="1"/>
  <c r="H40" i="18" a="1"/>
  <c r="H40" i="18" s="1"/>
  <c r="H38" i="18" a="1"/>
  <c r="H38"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<sst xmlns="http://schemas.openxmlformats.org/spreadsheetml/2006/main" count="1798" uniqueCount="397">
  <si>
    <t>Load</t>
  </si>
  <si>
    <t>Operator</t>
  </si>
  <si>
    <t>Shift</t>
  </si>
  <si>
    <t>Date</t>
  </si>
  <si>
    <t>Save</t>
  </si>
  <si>
    <t>Daniel</t>
  </si>
  <si>
    <t>Night</t>
  </si>
  <si>
    <t>משימות שבועיות / יומיות</t>
  </si>
  <si>
    <t>טיפול במשתמשים ותקלות, ניטור התרעות ומערכות.</t>
  </si>
  <si>
    <t>Network Performance Monitor (NPM)</t>
  </si>
  <si>
    <t>סקירה במערכת ניהול הקריאות (Tickets MMIS)</t>
  </si>
  <si>
    <t>Network Configuration Manager (NCM)</t>
  </si>
  <si>
    <t>גיבויים</t>
  </si>
  <si>
    <t>בדיקת גיבויים, וקובץ VM Protected.</t>
  </si>
  <si>
    <t>IP Address Manager (IPAM)</t>
  </si>
  <si>
    <t>עדכון יומן העברת משמרת</t>
  </si>
  <si>
    <t>Server &amp; Application Monitor (SAM)</t>
  </si>
  <si>
    <t>בדיקת סימים (בכל יום רביעי)</t>
  </si>
  <si>
    <t>Storage Resource Monitor (SRM)</t>
  </si>
  <si>
    <t>לבדוק WIFI</t>
  </si>
  <si>
    <t>Virtualization Manager (VMAN)</t>
  </si>
  <si>
    <t>עדכונים</t>
  </si>
  <si>
    <t>ואירועים</t>
  </si>
  <si>
    <t>משימות נוספות שבוצעו במהלך משמרת</t>
  </si>
  <si>
    <t>משימות להמשך עבודה</t>
  </si>
  <si>
    <t xml:space="preserve">עבודות </t>
  </si>
  <si>
    <t>מתוכננות</t>
  </si>
  <si>
    <t>Create</t>
  </si>
  <si>
    <t>Copy</t>
  </si>
  <si>
    <t>D2</t>
  </si>
  <si>
    <t>Block1</t>
  </si>
  <si>
    <t>Block2</t>
  </si>
  <si>
    <t>Block3</t>
  </si>
  <si>
    <t>Block4</t>
  </si>
  <si>
    <t>Asaf</t>
  </si>
  <si>
    <t>בדיקת גיבויים</t>
  </si>
  <si>
    <t>העברת קובץ QOS</t>
  </si>
  <si>
    <t>העברת דוח SDC Hosts &amp; VMs Daily Status</t>
  </si>
  <si>
    <t>יצירת דוח נהגים YIT</t>
  </si>
  <si>
    <t>עדכון רכבות</t>
  </si>
  <si>
    <t>בדיקות מערכת AFC</t>
  </si>
  <si>
    <t>בדיקה</t>
  </si>
  <si>
    <t>בודק</t>
  </si>
  <si>
    <t>הכל</t>
  </si>
  <si>
    <t>Morning</t>
  </si>
  <si>
    <t>בדיקת סימים</t>
  </si>
  <si>
    <t>בדיקה שלישית</t>
  </si>
  <si>
    <t>בדיקה שנייה</t>
  </si>
  <si>
    <t>שש</t>
  </si>
  <si>
    <t>שמונה</t>
  </si>
  <si>
    <t>חמש</t>
  </si>
  <si>
    <t>שבע</t>
  </si>
  <si>
    <t>ארבע</t>
  </si>
  <si>
    <t>במהלך המשמרת נפלו המון שירותים של OCN לכל החברה (MMIS,SOLAR,Milestone…). בטיפול csoc &amp; helpdesk</t>
  </si>
  <si>
    <t>במהלך היום אנשים יבקשו עזרה להכנס לOCN עקב התקלה מהבוקר, יש לשלוח אותם לHelpDesk</t>
  </si>
  <si>
    <t>Dima</t>
  </si>
  <si>
    <t>Evening</t>
  </si>
  <si>
    <t>Shalom</t>
  </si>
  <si>
    <t>בדיקות מערכת AFC (בשעה 20:00)</t>
  </si>
  <si>
    <t>העברת קובץ QOS (בשעה 03:00)</t>
  </si>
  <si>
    <t>יצירת דוח נהגים YIT (בשעה 06:00)</t>
  </si>
  <si>
    <t>בדיקות מערכת AFC (בשעה 05:00)</t>
  </si>
  <si>
    <t xml:space="preserve">בדיקה מול מוקד VIP פרטנר סטאטוס עבודות </t>
  </si>
  <si>
    <t>תומך VIP צריך לחזור אלינו לעדכון עם סיום העבודות אחרי 07:00 - עדכן שהעבודות ממשיכות.</t>
  </si>
  <si>
    <t>Friday</t>
  </si>
  <si>
    <t>בדיקות מערכת AFC (בשעה 12:00)</t>
  </si>
  <si>
    <t>Saturday</t>
  </si>
  <si>
    <t>העברת שני קבצי QOS שישי + שבת (בשעה 03:00)</t>
  </si>
  <si>
    <t>נפילה של Aeonix 10.101.124.70, הגיע טכנאי מתדיראן, טופל בהצלחה.</t>
  </si>
  <si>
    <t>•	ניטור ובקרה לפעילות פרטנר: עבודות של פרטנר - PTW 4697
•	PARTNER - PLANNED WORK NOTIFICATION Maintenance ID:22025830 04/03/2025 02:00:00 -  03:30 – תקלה במערכת PSCADA ותקלה במערכת האיתות – שירות הוצאת רכבות לקו מושבת !!!</t>
  </si>
  <si>
    <t>•	לוודא שצוות גיבויים של בינת – ז'אן פול קיבל את התקלה מ CRTG ויגיע לאתר להמשך טיפול</t>
  </si>
  <si>
    <t>•	מוקד VIP פרטנר מס' קריאה 993384182 – להתקשר שוב ולבדוק סטאטוס תעבורה על קווים 35-9000610 + 35-9000611 (SCN 104  )</t>
  </si>
  <si>
    <t>התקשרתי לבדוק סטאטוס תעבורה על קווים 35-9000610 + 35-9000611, העבירו רק עכשיו את הקווים למערכת הCACTI ולכן רק מהיום ב9:00 ניתן לראות את התעבורה</t>
  </si>
  <si>
    <t xml:space="preserve">נפילת קווים 35-9000590, 35-9000578. נוצר קשר עם פרטנטר, ממתינים לשיחה.
</t>
  </si>
  <si>
    <t>MMIS SR #2260342 MDC-URS-REC2 Node Rebooted Event ID 1001 AppCrash BlueScreen</t>
  </si>
  <si>
    <t>תקלה במצלמות רכבת מס' 29 - דווח ל-OCC+ לקבוצת TMU</t>
  </si>
  <si>
    <t>תקלה במצלמות רכבת מס' 44 - דווח ל-OCC+ לקבוצת TMU</t>
  </si>
  <si>
    <t>בעית כניסה למחשב נייד + הדפסה של עדי שירום (משלח נהגים) - כבל רשת היה מנותק + איפוס סיסמא</t>
  </si>
  <si>
    <t>נפתחה קריאה על Fixed disk is in warning state 90% WWRS-ALPM sr (2261391)</t>
  </si>
  <si>
    <t>רכבת מספר 29 - TMU למטה - בטיפול CRRC</t>
  </si>
  <si>
    <t>נפחתחו קריאות על power supply בתחנת בת ים (2264706 , 2264630, 2264605)  - נשלח מייל</t>
  </si>
  <si>
    <t>נפתחה קריאה לCRTG על עדכונים של מערך הסייבר (2264720) - נשלח מייל</t>
  </si>
  <si>
    <t>LRT07 TMU - Node is Down דיווח מחדר בקרה OCC על איבוד קשר עם מצלמות נהג ורציף, נוק בודק ניטור לסירוגין עולה ויורד</t>
  </si>
  <si>
    <t>LRT 07 TMU עלה תקין וחזר לפעילות שגרתית
   בקבוצה והמשך מעקב וניטור CRRC דווח ל</t>
  </si>
  <si>
    <t>בעיית הגעה לשירות לקוחות (טיפול שלי עם CRTG בAeonix) החלפתי מPrimary לSecondry. (שרת)</t>
  </si>
  <si>
    <t>בדיקות מערכת AFC (בשעה 06:00)</t>
  </si>
  <si>
    <t>Port 0-0-0-6 on switch 10.101.2.102 with description: CSC-JAFFAPARTNER-METRO-30-9002907 is always down and after few minutes up and repeats itself.
sending log file in the mail to CRTG helpdesk</t>
  </si>
  <si>
    <t>שרת MDC-URS-REC1-NEW נכנס למצב של מסך כחול - עשיתי לו יזום POWER OFF, והתחלתי את המחשב בצורה ידנית. דבר זה קורה לעיתים תכופות - ויש לעקוב ולבדוק למה  - נשלח מייל גם לגבריאל + סשה מבינת</t>
  </si>
  <si>
    <t xml:space="preserve">לא הספקתי לעשות דוח AFC בשעה 06:00 משום שהמשמרת של מוצ"ש היא בת 12 שעות (סיום ב-06:00) - מועבר למשמרת בוקר של יום ראשון </t>
  </si>
  <si>
    <t>LRT07 - TMU Node is Down בדיקה לבקשת גלעד מ CRRC
גם לאחר החלפה לזוגי אין פינג - המשך טיפול CRRC</t>
  </si>
  <si>
    <t>MMIS SR # 2275159 OCN-OFFICE-3-SRV Disk C 90% full</t>
  </si>
  <si>
    <t>CRRC מול מוטורולה תאום טכנאי</t>
  </si>
  <si>
    <t>המשך מעקב אחרי הקריאה</t>
  </si>
  <si>
    <t>בדיקות מערכת AFC (בשעה 16:00)</t>
  </si>
  <si>
    <t>בקר גישה בשם DEPOT LMW2 (ACS)     כתובת: 10.102.11.17,
הפסיק לעבוד/אין תקשורת אליו. מודל: LNL 2220</t>
  </si>
  <si>
    <t xml:space="preserve">בקר גישה בשם Risco Controller - DP LMW (ACS)      כתובת: 10.102.11.18, הפסיק לעבוד/אין תקשורת אליו. </t>
  </si>
  <si>
    <t>בקר גישה בשם DEPOT ADM-1 (ACS)     כתובת: 10.102.11.10,
הפסיק לעבוד/אין תקשורת אליו. מודל: LNL 2220</t>
  </si>
  <si>
    <t>LRT07 - TMU Node is Down
מוטורולה החליפו TMU תקול בחדש, בדקנו התחברות תקינה</t>
  </si>
  <si>
    <t>מסכים על קיר בחדר NOC ב SCC חולון לא נדלקים
נשלחו תמונות עם פרטי הטאבלט</t>
  </si>
  <si>
    <t>המשך מעקב וניטור</t>
  </si>
  <si>
    <t>דווח ל MCD שפתחו קריאה #2277035 המשך מעקב מול 
CRTG ובינת</t>
  </si>
  <si>
    <t>נסיון לעזור לOCC עם בעיית מסך , הצלחתי רק להעביר את הבעיה למסך הימני. יש להעביר לIT. נראה שהבעיה לא במסך אלה במחשב עצמו</t>
  </si>
  <si>
    <t>יש להעביר למשמרת בוקר על בעיית המסך בOCC</t>
  </si>
  <si>
    <t>Risco Controller - R18 comm room 290 (ACS)
10.11.11.11</t>
  </si>
  <si>
    <t>The CLM is Offline</t>
  </si>
  <si>
    <t>The Validator is Offline</t>
  </si>
  <si>
    <t>Problem with TVM:  Bank Card Reader</t>
  </si>
  <si>
    <t>נפתחה קריאה על Power supply 2279117</t>
  </si>
  <si>
    <t>סטטוס גיבויים</t>
  </si>
  <si>
    <t>תאריך</t>
  </si>
  <si>
    <t>מספר התקלה</t>
  </si>
  <si>
    <t>שם השרת</t>
  </si>
  <si>
    <t>כתובת IP</t>
  </si>
  <si>
    <t>סיבת הכישלון</t>
  </si>
  <si>
    <t>סטטוס</t>
  </si>
  <si>
    <t>ACN+OCN</t>
  </si>
  <si>
    <t>גיבויים תקינים, למעט SR 2171310</t>
  </si>
  <si>
    <t>תקין</t>
  </si>
  <si>
    <t>בעיות של VDDK במספר שרתיפ בסביבת ACN</t>
  </si>
  <si>
    <t>נשלח מייל עם צילום מסך לגבריאל+CRTG</t>
  </si>
  <si>
    <t>בעיות במספר שרתים ב-ACN</t>
  </si>
  <si>
    <t>גיבויים תקינים</t>
  </si>
  <si>
    <t xml:space="preserve">Desigh Fault - The system should not perform backup on SDC </t>
  </si>
  <si>
    <t>SDC Backup</t>
  </si>
  <si>
    <t>SR 2171310</t>
  </si>
  <si>
    <t>JOB 130299
Job 130281</t>
  </si>
  <si>
    <t>SDC-ADS-DB/
SDC-ACN-VC.ACN.LOC</t>
  </si>
  <si>
    <t>VDDK thread timeout, possible VDDK deadlock encounterd. Source: ACN-COMSRV, Process: JobManager</t>
  </si>
  <si>
    <t>נפתחה קריאה  2109971 למעקב</t>
  </si>
  <si>
    <t>06-09/01/2025</t>
  </si>
  <si>
    <t>Job 234996
 - [VM Admin Job(Backup)]</t>
  </si>
  <si>
    <t>SDC-OCN-VSA5</t>
  </si>
  <si>
    <t>Description: No virtual machines were discovered for [SDC-OCN-Cluster]. Check the content and filters.
Source: SDC-OCN-VSA5, Process: vsdiscovery</t>
  </si>
  <si>
    <t>המשך מעקב מול גבריאל אם המכונה כבר בפרודקשן ואם צריכה להיות בתוך \ מחוץ לרשימת המכונות שעוברות גיבוי</t>
  </si>
  <si>
    <t>Job 234995/7
 - [VM Admin Job(Backup)]</t>
  </si>
  <si>
    <t xml:space="preserve"> R17-LAB-WTN / 
R17-OCN-ESX</t>
  </si>
  <si>
    <t xml:space="preserve">Virtual machine [R17-LAB-WTN] was not found. Please verify that the virtual machine still exists and that the host is in the connected state. If the virtual machine does not exist remove it from the subclient. If the virtual machine does exist reselect the virtual machine and re-add it to the subclient content.&lt;br&gt;Source: mdc-ocn-comsrv, Process: JobManager
</t>
  </si>
  <si>
    <t>mdc-ocn-comsrv</t>
  </si>
  <si>
    <t>Commvault OCN - Insufficient storage on library DISKLIBR-MDC-OCN Media/Space left (excluding reserve space) 23.82 TB</t>
  </si>
  <si>
    <t>נפתחה קריאה  2057984, למעקב</t>
  </si>
  <si>
    <t>15-31/12/2024</t>
  </si>
  <si>
    <t>Job 231206/4
 - [VM Admin Job(Backup)]</t>
  </si>
  <si>
    <t>Job 230532
 - [VM Admin Job(Backup)]</t>
  </si>
  <si>
    <t>Job 230420
 - [VM Admin Job(Backup)]</t>
  </si>
  <si>
    <t>עדכונים ואירועים חשובים:</t>
  </si>
  <si>
    <t>סטאטוס</t>
  </si>
  <si>
    <t>CRRC מול מוטורולה תאום טכנאי, בבדיקה
עדכון 10/03/2025 מוטורולה החליפו ל TMU חדש</t>
  </si>
  <si>
    <t>בעייה בניתוב שיחות לשירות לקוחות</t>
  </si>
  <si>
    <t>לעכשיו העברנו את השרת המשני להיות הפעיל מבין השניים, וביום ראשון ימשיכו טיפול.</t>
  </si>
  <si>
    <t>LRT07 TMU - Node is Down דיווח מחדר בקרה OCC על איבוד קשר עם מצלמות נהג ורציף, נוק בודק ניטור לסירוגין עולה ויורד.
דווח ל CRRC בקבוצה והמשך מעקב וניטור</t>
  </si>
  <si>
    <t>בבדיקה במערכת הניטור TMU למטה ובתחילה לא מגיב לפינג:
Ping -t 10.101.42.23 Request timed out
אך לאחר מספר דקות TMU חזר והתקבל Reply תקין ורציף לפינג</t>
  </si>
  <si>
    <t xml:space="preserve"> MDC-URS-REC2 Node Rebooted Event ID 1001 AppCrash BlueScreen</t>
  </si>
  <si>
    <t>MMIS SR #2260342</t>
  </si>
  <si>
    <t>עבודות של פרטנר - PTW 4697
PARTNER - PLANNED WORK NOTIFICATION Maintenance ID:22025830 04/03/2025 02:00:00 -  03:30
לאחר סיום עבודות פרטנר, ביצוע בדיקת מערכות ע"י אסף מצוות NOC וגבריאל מבינת: התראות במערכת ניטור סולאר על קווי פרטנר והממשקים המחוברים אליהם דרך ציודי התקשורת של תבל, קלאסטר מערכת טלפוניה - איוניקס תדיראן, מערכות שרתים ושרידות של vCenter vSphere, Nutanix, High Availability גבריאל ביצע לפני תחילת העבודות פעולות מניעה במערכות אלו כדי להימנע מקפיצה לא מתוכננת של השרתים ל SDC</t>
  </si>
  <si>
    <t>לאחר סיום עבודות פרטנר ביצוע בדיקות שפיות למערכות:
אסף בבדיקת מערכת הניטור סולאר על קודי קו שטופלו במהלך עבודות פרטנר - כל הקווים עלו ואין התראות ושגיאות ב NMS, קלאסטר של מרכזיה איוניקס תדיראן תקין וטלפוניה עובדת כבשגרה.
גבריאל סיים בדיקת מערכות שרתים vCenter vSphere, Nutanix, High Availability תקין והחזיר אותם לפעילות שגרתית. בבדיקה מול חדר בקרה חווים 2 תקלות משמעותיות:
PSCADA ניהול מערכת חשמל רכיבים בסטאטוס Unknown בצהוב ולא ניתן לבצע פעולות שינוי במערכת עקב חוסר תקשורת - בהתייעצות עם גבריאל הונחו להקפיץ את קרן מהנדסת חשמל CRTG לטפל בתקלה, היא בדרך לאתר. בנוסף בקרי תנועה OCC במערכות איתות של אלסטום לא ניתן להתחבר ולקחת שליטה ATS - דימה ופיטר תורני אלסטום מטפלים מול חדר בקרה, לדבריהם, תקלה פנימית במערכת איתות שלא מחוברת או קשורה לקווי פרטנר.
אסף בבדיקה בטלפון מול דור מבינת על כל מערכת הדיודה בכלוב של אלסטום - תקין.
אסף בודק שוב מול מוקד VIP של פרטנר סטאטוס קודי קו ברשת SCN:
35-9000610 + 35-9000611 תורן פרטנר, עוז, בודק מול הצוות הטכני בשטח ויעדכן במצב התעבורה בקו ברגע שיש לו מידע חדש. מספר קריאה בפרטנר  993384182</t>
  </si>
  <si>
    <t>תקלה בשרת AEONIX שגרם לנפילות של שלוחות טלפוניה, נפתחה קריאה.</t>
  </si>
  <si>
    <t>הגיע לטפל טכנאי תדיראן,  תקין.</t>
  </si>
  <si>
    <t>עקב תקלה במערכת ה-PSIM - גבריאל עשה ריבוט לשרתים</t>
  </si>
  <si>
    <t>עובד תקין</t>
  </si>
  <si>
    <t>פעילות של תחזוקת מפסקים בדיפו-לתחזוקה זאת תהיה השפעה על כלל המערכות שלא מגובות UPS</t>
  </si>
  <si>
    <t>לאחר נפילת חשמל בבנין אדמין ובחדר השרתים מערכות נוטרו מתגי תקשורת נפלו ובחדר שרתים מערכת קירור הפסיקה לעבוד. לאחר החזרת חשמל הלכתי עם אולג לחדר שרתים והוא הפעיל את מערכות הקירור מחדש - תקין  במהלך ההשבתה טמפרטורות עלו לכ 24 מעלות ובסיום חזרו לנורמה ל 20.6  בדקתי וניטרתי את שאר המערכות ורכיבי התקשורת - תקין</t>
  </si>
  <si>
    <t>מני + גבריאל מבינת עובדים על שרתי WSUS</t>
  </si>
  <si>
    <t>מידי פעם, יתכנו ריבוטים או כיבוי, יש לבדוק מידי פעם שהכל תקין מול גבריאל</t>
  </si>
  <si>
    <t>בבדיקת סטאטוס התראות, מערכות וגיבויים בתחילת משמרת:
COMMVAULT Backup Error Insufficient Storage Backup activity is disabled ,   Description: Library [DISKLIBR-SDC-OCN], MediaAgent [sdc-ocn-bkp-v2], Drive Pool [DrivePool(sdc-ocn-bkp-v2)4], Media[]: Mount Path does not have enough space.
Advice: Make sure that there is at least enough free space to satisfy the reserve space value set on the Library Property.
Source: mdc-ocn-comsrv, Process: JobManager</t>
  </si>
  <si>
    <t>MMIS SR #2242685
MDC-OCN-COMSRV 10.101.9.100 Node is Warning Critical Alerts: Insufficient Storage + Backup activity is disabled !!!
Job 241296 Auxiliary Copy Status: Waiting + Job 241315 - [Backup] Mount Path does not have enough space.
Open Emergency Ticket to Bynet !!!</t>
  </si>
  <si>
    <t>שעת האירוע: 19:26, מיקום: אבא הילל,  רכבת 14, קרון 1028, תיאור ומספר תקלה: TMU למטה, אין מצלמות רכבת לנהג</t>
  </si>
  <si>
    <t>בבדיקה מול OCC במערכת הניטור נצפה כי הרכיב TMU שאמור להיות פעיל   ב LRT 14,  אינו זמין ואינו מגיב לבדיקת פינג Pinging 10.101.42.37 - Request timed out ,דווח ל CRRC.</t>
  </si>
  <si>
    <t>28/022025</t>
  </si>
  <si>
    <t>תקלה ב-PIDS, אין הודעות בשלטים לנוסעים בקו.</t>
  </si>
  <si>
    <t>הסינים ניסו לעשות ריבוט לשרתים - ללא הצלחה.
בדקנו PS, דיודה - הכל תקין יש נתונים שרצים.
סשה מבינת ביקש להעביר FO לSDC את השרת SDC-OCN-PS2 - אך לא פתר את הבעייה.
סשה מבינת + אמיר מאקסיומה עלו לשיחת ועידה עם שלום נוק - וניסינו לפתור את הבעיה, אך ישנה בעיה להתחבר לשרתי הPIDS מה-PS.
אמיר הציע שהסינים יבדקו את תוקף תעודות בשרתי ה-PIDS, לאחר הנחייה ובדיקות התעודות - אמיר מצא את הבעייה--&gt;&gt; תוקף של התעודה פג התוקף.
סשה מבינת + אורי צדיק - יטפלו בבעיה מול הסינים.</t>
  </si>
  <si>
    <t>תקלה בFO של שרת PSIM,-קפץ לשרת SDC,
07:24 28/02/25, 
Cluster API call failed with error code: 0x800706D9. Cluster API function: OpenClusterEx Arguments: lpszClusterName: (null)</t>
  </si>
  <si>
    <t>נפתחה קריאה ב-MMIS: 2234684.
 דיברתי עם אלמר מCRTG, וביקשתי שיבדקו.
אורי צדיק חזר אלינו-ביקש פרטים נוספים, ואמר שידבר עם אילון.
אורי דיבר עם אילון - ואילון אמר שזה כרגע לא קריטי, המערכת עובדת, ויטפלו בזה בהקדם האפשרי.</t>
  </si>
  <si>
    <t>27/022025</t>
  </si>
  <si>
    <t>בקר חשמל OCC עדכן כי יש תקלת תקשורת במערכת חשמל  PSCADA ואין תקשורת מהתוכנה אל הבקרים. הזעיקו את קרן מהנדסת חשמל מ CRTG אל האתר.</t>
  </si>
  <si>
    <t>בצעתי ניטור ובדיקה של כל מערכות התקשורת + דיודה ללא ממצאים חריגים. קרן מהנדסת חשמל הגיעה לאתר וטיפלה בתקלה ללא עדכון נוסף מ CRTG.  חדר בקרה דיווח שהכל תקין וחזרה לשיגרה רכבות יצאו לקו .</t>
  </si>
  <si>
    <t>42683751 עבודות יזומות של פרטנר על הקוים:
10-9002821, 30-9002992, 10-9008138
כחצי שעה, בין השעות 27/02/25 20:00 עד ל-28/02/25 01:00</t>
  </si>
  <si>
    <t>קווים 30-9002992, 10-9002821 ירדו 19:49 ועלו ב-20:26/7</t>
  </si>
  <si>
    <t>MAINTENEANCE PARTNER - PLANNED WORK NOTIFICATION  EMERGANCY WORK ID 73575950 27/02/25 05:00-07:00</t>
  </si>
  <si>
    <t>בבדיקה מול מוקד VIP פרטנר, נציג צריך לחזור אלינו עם סטאטוס</t>
  </si>
  <si>
    <t>דימה מאלסטום ואבי חשמלאי/מיזוג אוויר מתבל - התקשרו , וביקשו לדעת אם ראינו התרעה על חדר שרתים שנמצא בבניין התחזוקה הקלה, הם טוענים שדימה נכנס במקרה לשם, וגילה שמזגן לא עבד, והיה שם כ-40 מעלות, דבר זה מאוד קריטי!</t>
  </si>
  <si>
    <t>חדר של אלסטום - אנחנו לא מנטרים</t>
  </si>
  <si>
    <t>במהלך המשמרת נפלו המון שירותים של OCN לכל החברה (MMIS,SOLAR,Milestone…)</t>
  </si>
  <si>
    <t>התברר כי זו בעיה שנגמרה על ידי הSymantec , נאלצים לפתור את הבעיה ידנית לכל מחשב בנפרד.
בטיפול CSOC וHelpDesk</t>
  </si>
  <si>
    <t>2/22/2025</t>
  </si>
  <si>
    <t>במהלך משמרת לילה, התקשרו afcon לבדוק האם פורט 8831 חסום לרשת OCN.</t>
  </si>
  <si>
    <t>בטיפול AFCON</t>
  </si>
  <si>
    <t>נמצאה תקלה במערכת FSS הגורם לתקלות במסכים בהמון תחנות , בוצע נסיון ליצור קשר עם SOC ללא הצלחה.</t>
  </si>
  <si>
    <t>מועבר למשמרת בוקר NOC / CSOC</t>
  </si>
  <si>
    <t>עדכון משמרת בוקר :יש להפנות את אפקון לCRTG לפתרון הבעיה</t>
  </si>
  <si>
    <t>2/20/2025</t>
  </si>
  <si>
    <t>After PTW 4454 Upgrade version of the 9200 Switches in Depo Buildings, MDC, SDC Open Active Alerts tickets on following issues</t>
  </si>
  <si>
    <t>MMIS SR 2215205</t>
  </si>
  <si>
    <t>DMZ-NAYAX-PROXY2, 10.101.159.65 תקלה בשירותי סליקת אשראי, בוצע מעקף ע"י סאשה מבינת לפתרון הבעייה- נשארה רק תקלה באלטאון DMZ</t>
  </si>
  <si>
    <t>LNL Device is Down was triggered:Node is Down:</t>
  </si>
  <si>
    <t>MMIS SR #2215208</t>
  </si>
  <si>
    <t>DEPOT ADM-1 (ACS) 10.102.11.10</t>
  </si>
  <si>
    <t>DEPOT MOW (ACS) 10.102.11.13</t>
  </si>
  <si>
    <t>MMIS SR #2215211</t>
  </si>
  <si>
    <t>DEPOT SCR (ACS) 10.102.11.19</t>
  </si>
  <si>
    <t>R27 KIRYAT ARIE (ACS) 10.102.11.20</t>
  </si>
  <si>
    <t>ציוד תקשורת וLNL בקרית אריה יטופל אחרי סיום עבודות רכבת ישראל על חשמל בתחנה</t>
  </si>
  <si>
    <t>DEPOT DRIVERS (ACS) 10.102.11.22</t>
  </si>
  <si>
    <t xml:space="preserve"> (20/02 17:00)</t>
  </si>
  <si>
    <t>Risco Controller - R27 Kiryat Arie (ACS) 10.102.11.21</t>
  </si>
  <si>
    <t>DEPOT LPR WIEGEND1 (ACS) 10.102.11.37</t>
  </si>
  <si>
    <t>Node is down - Cisco</t>
  </si>
  <si>
    <t>RL-DP-TERM​INUS_R27-TSY-CBN-OCN-L2SW0001-0071</t>
  </si>
  <si>
    <t>S/N JAE26141KSG, MODEL C9200L-24P-4G, IP 10.105.2.24</t>
  </si>
  <si>
    <t>עבודות על אלטאון - סשה מבינת</t>
  </si>
  <si>
    <t>2/18/2025</t>
  </si>
  <si>
    <t>Failover Cluster events on MDC-OCN-PS1 18/02/25 01:50AM Current Host server : SDC-OCN-PS2 PSL_ROLE owner MDC-OCN-PS1</t>
  </si>
  <si>
    <t>נפתחה קריאה SR 2210063</t>
  </si>
  <si>
    <t>Elastic נבדק לATS Messages בהזרקת רכבות</t>
  </si>
  <si>
    <t>06:00 נבדק PIDS מול דיוטי OCC : תקין</t>
  </si>
  <si>
    <t>16.02.2025</t>
  </si>
  <si>
    <t>קו  35-9000589 נפל מאלנבי ללוד בשעה 09:52 ועל בשעה 09:54 לפי המילים שקיבלנו ממערכת של תבל והסולאר</t>
  </si>
  <si>
    <t>התקשרתי לפרטנר VIP, עוז אמר שיבדוק ויחזור אלינו - עוז מפרטנר חזר אלינו, ואומר שאצליהם לא רואים נפילה.</t>
  </si>
  <si>
    <t>2/16/2025</t>
  </si>
  <si>
    <t>SR 2197867 Pscada Alert : RL_PEG_HEARTBEAT_SEC_STUCK_FLVR ATS Waterfall -- Failover OPC Server clock seconds value stuck!!!! - CRTG-EEB-PANASONIC</t>
  </si>
  <si>
    <t>סשה מבינת הגיע לטפל בתקלה : עזב את הדיפו לאחר כ40~ דק'</t>
  </si>
  <si>
    <t>לא עדכן את נציג CRTG על סטטוס טיפול וסיום עבודה</t>
  </si>
  <si>
    <t>RL_PEG_HEARTBEAT_SEC_STUCK ATS Waterfall -- OPC Server clock seconds value stuck!!!! - CRTG-EEB-PANASONIC</t>
  </si>
  <si>
    <t>בשעה 4 בוצעה בדיקה לדיודה - OCN-RX-A לא מקבל הודעות על ערוצים של OPC</t>
  </si>
  <si>
    <t>בנוסף השגיאה עדיין קיימת בPscada , הפרטים נמסרו לנציג CRTG בטלפון</t>
  </si>
  <si>
    <t>07.02.2025</t>
  </si>
  <si>
    <t>בגלל בעיה במערכת שליחת המיילים של פרטנר - קיבלנו 5 התרעות על קוים שנפלו ולאחר כ-10 דקות שעלו</t>
  </si>
  <si>
    <t>דיברתי עם שי מהמוקד VIP שאמר זאת</t>
  </si>
  <si>
    <t>החל מ 03:28AM התראות בסולאר על שרתים Node/VM Rebooted שכללו בעיקר</t>
  </si>
  <si>
    <t>עודכנו MCD להקפיץ כוננים מ CRTG + Bynet ולהקפיץ צוותים Afcon + QOGNIFY</t>
  </si>
  <si>
    <t xml:space="preserve"> all clusters of Pulse DB + Pulse App, PSIM Servers, SM, QOGNIFY ARE Services -Application goes down,MDC-OCN-SQL1, MDC-OCN-COMSRV, SDC-DistribDB, לאחר סבב בדיקות אוונטים בשרתים ומול בקר חשמל OCC דווח כי במערכת FSCADA לא מציגה התראות ואין אינדיקציה על תחנות ומבנים בקו. ניתן לבצע פעולות של פתיחת שערים. כמו כן נצפו אתחולים של מערכות בסיסי נתונים, קומוולט - מערכת הגיבוי לא מציגה ג'ובים פעילים והיסטוריה, ובשרת בסיסי הנתונים הראשי נצפו שגיאות של Failover Cluster. בנוסף שלג לבן SOC עדכנו על בעייה במערכת</t>
  </si>
  <si>
    <t>איציק מאפקון הגיע לאתר והתחיל לבדוק ולטפל בתקלה.</t>
  </si>
  <si>
    <t>SITUATOR - לא התקבלו התראות מחיישנים ולא נפתח תפריט ארועים.</t>
  </si>
  <si>
    <t>נפתחו קריאות ע"י MCD + NOC :</t>
  </si>
  <si>
    <t>MMIS SR #2175927, #2176749, #2176831</t>
  </si>
  <si>
    <t>המשך מעקב להגעת תורנים ובדיקה וטיפול.</t>
  </si>
  <si>
    <t>בהמשך לבדיקות - מסתבר שעידכונים שהופצו משרת WSUS גרם לריבוט של השרתים.</t>
  </si>
  <si>
    <t>קובץ QOS לא הגיע מאלסטום ולא נמצא בתיקיית</t>
  </si>
  <si>
    <t>נשלח מייל לפי הנוהל לשחר לוגסי, ורונן עודכן בנושא .</t>
  </si>
  <si>
    <t xml:space="preserve"> \\10.101.8.44\Waterfall_To_MMIS</t>
  </si>
  <si>
    <t>המשך מעקב וקבלת הקובץ במשמרת בוקר. נפתחה קריאה: 2168226</t>
  </si>
  <si>
    <t>קובץ הועבר על ידי אסלום בשעה 13:00 - הועלה לSHAREPOINT</t>
  </si>
  <si>
    <t>PTW 4508 - סשה מבינת + ליאור, ועידן מבינת + רונן עובדים על שידרוג הפורטי משעה 02:00</t>
  </si>
  <si>
    <t>סיימו בשעה 04:00, כרגע הכל עובד כשורה</t>
  </si>
  <si>
    <t>בהמשך לשגיאות בדיודה - בוצעו מספר בדיקות בדיודה עם סשה מבינת</t>
  </si>
  <si>
    <t>סשה מבינת אומר שיש בעיה בערוץ השני של PSCADA, ויעביר את הנתונים לCRTG להמשך טיפול, רונן גם עודכן.</t>
  </si>
  <si>
    <t>שלחתי מייל לCRTG+ התקשרתי לCRTG , אלמר ענה לי ואמר שלא יודע, אמר שיבדוק ויחזור עם פרטים על נושא הדיודה.</t>
  </si>
  <si>
    <t>אלמר מסר שאפקון בדקו ולא מצאו בעייה, ואלסטום טרם מסרו תשובה.</t>
  </si>
  <si>
    <t>העברת משמרת</t>
  </si>
  <si>
    <t>Task</t>
  </si>
  <si>
    <t>Status</t>
  </si>
  <si>
    <r>
      <rPr>
        <b/>
        <u/>
        <sz val="12"/>
        <color theme="1"/>
        <rFont val="Calibri"/>
        <family val="2"/>
      </rPr>
      <t xml:space="preserve">משימה ביום רביעי משמרת בוקר </t>
    </r>
    <r>
      <rPr>
        <b/>
        <sz val="12"/>
        <color theme="1"/>
        <rFont val="Calibri"/>
        <family val="2"/>
      </rPr>
      <t xml:space="preserve"> - 
יש לבדוק תקינות של כלל הסימים שברכבות (של פרטנר ופלאפון) ובמידה ויש תקלה לעדכן בלוגבוק
 (יש הוראת עבודה להכל בתיבת NOC), ושליחת הדוח תקלות במייל לרונן וחזי בסיום הבדיקה! (במקום יום שישי)</t>
    </r>
  </si>
  <si>
    <t>X</t>
  </si>
  <si>
    <t>משימות / דגשים מיוחדים:</t>
  </si>
  <si>
    <t xml:space="preserve">דימה 03/07/2024 </t>
  </si>
  <si>
    <r>
      <rPr>
        <b/>
        <u/>
        <sz val="11"/>
        <rFont val="Calibri"/>
        <family val="2"/>
        <scheme val="minor"/>
      </rPr>
      <t>משימה יומית חדשה מרונן:</t>
    </r>
    <r>
      <rPr>
        <b/>
        <sz val="11"/>
        <rFont val="Calibri"/>
        <family val="2"/>
        <scheme val="minor"/>
      </rPr>
      <t xml:space="preserve">
יש לבדוק פעמיים ביום מול CRTG סטטוס טיפול בתקלת גיבוי. מספר התקלה: 1245419.
נפתחה קריאה חדשה על אותו נושא שמספרה: 1394982 (בגלל שעדיין יש התרעה בקומוולט)</t>
    </r>
  </si>
  <si>
    <t>03/07/2024 - לפי אורי צריכים לבדוק מי יטפל בתקלה כרגע בבדיקה</t>
  </si>
  <si>
    <t>בסיום כל משמרת: לנקות עמדת עבודה (כוסות, לוודא שדלת המקרר סגורה+המקפיא).
משמרת לילה: להתחיל בדיקת רכבות ב04:40 לפני תחילת תנועת הרכבות</t>
  </si>
  <si>
    <r>
      <rPr>
        <b/>
        <sz val="12"/>
        <color theme="0"/>
        <rFont val="Calibri"/>
        <family val="2"/>
      </rPr>
      <t xml:space="preserve"> משימה יומית חדשה!!
כל בוקר ב- 06:00! יש להכין ולהעביר קובץ בנוהל  (שנמצא בתיבת NOC + אינדקס נהלים) שנקרא: העברת דוח  נהגים יומי YIT  (שם משתמש + סיסמא נמצאים KEEPASS)</t>
    </r>
    <r>
      <rPr>
        <b/>
        <sz val="12"/>
        <color theme="1"/>
        <rFont val="Calibri"/>
        <family val="2"/>
      </rPr>
      <t xml:space="preserve">
 </t>
    </r>
  </si>
  <si>
    <t>Done</t>
  </si>
  <si>
    <t>קו סיב פרטנר: בכל נפילה של קו פרטנר ולו רגעית יש לפתוח תקלה בפרטנר ולקבל תשובות. בהתאם לקו שנפל יש חובה לעדכן את ה OCC ולוודא תקינות מערכות תפעול.
ישנם מערכות רגישות לנפילות תקשורת אפילו רגעיות, אחת המערכות החשובות לתפעול הרכבת P-SCADA חוותה תקלה עקב כך</t>
  </si>
  <si>
    <r>
      <t xml:space="preserve"> כל לילה בשעה 03:00 בדיוק! יש להכין ולהעביר קובץ בנוהל  (שנמצא בתיבת NOC ) שנקרא: העברת קובץ QOS  (שם משתמש + סיסמא נמצאים KEEPASS)
 </t>
    </r>
    <r>
      <rPr>
        <b/>
        <sz val="12"/>
        <color rgb="FF00B0F0"/>
        <rFont val="Calibri"/>
        <family val="2"/>
      </rPr>
      <t>(שני קבצי ה-BI, 007+009- אין צורך יותר להעביר!!!)</t>
    </r>
    <r>
      <rPr>
        <b/>
        <sz val="12"/>
        <color theme="1"/>
        <rFont val="Calibri"/>
        <family val="2"/>
      </rPr>
      <t xml:space="preserve">
</t>
    </r>
    <r>
      <rPr>
        <b/>
        <sz val="18"/>
        <color rgb="FFFF0000"/>
        <rFont val="Calibri"/>
        <family val="2"/>
      </rPr>
      <t>**במוצ"ש, יש להוציא את הקובץ עבור שישי + שבת</t>
    </r>
  </si>
  <si>
    <t>כל תקלת דיודה, דגימות OCN-TX/RX-A/B Cluster יש לפתוח קריאה ולעלות ישר מול רונן/איתמר+MCD+אייל אופיר (CRTG) ולעדכן!!!</t>
  </si>
  <si>
    <t>update LRT's to ignore and check with OCC</t>
  </si>
  <si>
    <t>לבקשת נריה כשפותחים תקלות על ציוד תקשורת יש להוסיף את הסריאלי של הציוד. נמצא במסך של הדגימה, במסך הצדדי תחת switch stack</t>
  </si>
  <si>
    <t>Check WiFi Dashboard Monitor -Morning Shift</t>
  </si>
  <si>
    <t>כאשר נתקלים בבעיות בתפקוד הסולר ניתן להריץ iisreset מCMD אדמין ישירות מהשרתים (68,69) במקום מהVIP</t>
  </si>
  <si>
    <t>Folow up on IT tickets</t>
  </si>
  <si>
    <t>AS Possible</t>
  </si>
  <si>
    <t>האנשים המורשים לאשר פתיחת יוזרים סינים הם: שחר לוגסי, קיריל ליפשיץ, רונן אגיב, איתמר עמית</t>
  </si>
  <si>
    <t>לבקשת רונן, יש לעדכן את דו"ח הגיבויים ולבדוק את הסטטוס.
יש לשלוח כל סוף משמרת לילה את הטבלה המעודכנת יחד עם טבלת עדכונים ואירועים חשובים</t>
  </si>
  <si>
    <t>לבקשת רונן יש לעקוב אחרי הטיפול בקריאה מספר 1256699 ולעדכן עד שתהיה תשובה.</t>
  </si>
  <si>
    <t>הנחיה מרונן: כל קובץ QOS שלא מגיע מאלסטום- יש להוציא מייל לתומר יעקובי</t>
  </si>
  <si>
    <t>במידה וקורה ריבוט לMDC-URS-REC2 או MDC-URS-REC-NEW נא לעדכן את גבריאל על ידי שליחת מייל עם כל הפרטים</t>
  </si>
  <si>
    <t>Commvault Error Root CA 10.101.9.15 can't backup - disabled -
שרת פיזי של תעודות אין צורך לגבות - תקין גיבוי מושבת בצורה יזומה (גבריאל)</t>
  </si>
  <si>
    <t>0546593781- עדי מנהל פרוייקטים פרטנר
במידה ויש שאלה לגבי הקווים שלמטה- לפנות אליו</t>
  </si>
  <si>
    <t>Interface Monitor</t>
  </si>
  <si>
    <t>Reports</t>
  </si>
  <si>
    <t>Backup check</t>
  </si>
  <si>
    <t>YEAR</t>
  </si>
  <si>
    <t>MONTH</t>
  </si>
  <si>
    <t>CALENDAR</t>
  </si>
  <si>
    <t>All</t>
  </si>
  <si>
    <t>Events</t>
  </si>
  <si>
    <t>SUN</t>
  </si>
  <si>
    <t>MON</t>
  </si>
  <si>
    <t>TUE</t>
  </si>
  <si>
    <t>WED</t>
  </si>
  <si>
    <t>THU</t>
  </si>
  <si>
    <t>FRI</t>
  </si>
  <si>
    <t>SAT</t>
  </si>
  <si>
    <t>Event Description</t>
  </si>
  <si>
    <t>Start - End</t>
  </si>
  <si>
    <t>January</t>
  </si>
  <si>
    <t>Fscada Pulse MDC &amp; SDC server restart
PTW 4650</t>
  </si>
  <si>
    <t>08:00 - 17:00</t>
  </si>
  <si>
    <t>February</t>
  </si>
  <si>
    <t xml:space="preserve">73575950 PARTNER MAINTANANCE ID </t>
  </si>
  <si>
    <t>05:00-07:00</t>
  </si>
  <si>
    <t>March</t>
  </si>
  <si>
    <t>פעילות של תחזוקת מפסקים בדיפו-לתחזוקה זאת תהיה השפעה על כלל המערכות שלא מגובות UPS.
מבחינתנו יהיו נפילות של ציודים ברחבי הדיפו ( לא בבניין אדמין )
רונן מבקש להיות בקשר בסיום מול מנהל הפעילות לוודא שכל הציודים למעלה.</t>
  </si>
  <si>
    <t>20:00-24:00</t>
  </si>
  <si>
    <t>April</t>
  </si>
  <si>
    <t>Year</t>
  </si>
  <si>
    <t>22025830 PARTNER MAINTANANCE ID 
עבודות של פרטנר-PTW 4697 
(מלווים סשה וגבריאל מבינת)</t>
  </si>
  <si>
    <t>02:00 - 03:30</t>
  </si>
  <si>
    <t>May</t>
  </si>
  <si>
    <t>PTW - 4590 - החלפת נקסוסים בMDC- OCN</t>
  </si>
  <si>
    <t>15:30 - 24:00</t>
  </si>
  <si>
    <t>June</t>
  </si>
  <si>
    <t>July</t>
  </si>
  <si>
    <t>Month</t>
  </si>
  <si>
    <t>August</t>
  </si>
  <si>
    <t>September</t>
  </si>
  <si>
    <t>October</t>
  </si>
  <si>
    <t>November</t>
  </si>
  <si>
    <t>December</t>
  </si>
  <si>
    <t xml:space="preserve">לפתוח קריאה לקבל תוכנית עבודה לעדכון מערכות הפעלה </t>
  </si>
  <si>
    <t>לבדוק מדוע לא ניתן לקבל SMS בכניסה למערכת של פלאפון, נשלח מייל בנושא מספר פעמים</t>
  </si>
  <si>
    <t>בבוקר לעבוד עם דימה על הSAM לבדיקות תעודות SSL</t>
  </si>
  <si>
    <t>תפעול תקלת מזגנים בחוות השרתים MDC עם אבי.</t>
  </si>
  <si>
    <t xml:space="preserve">נפתחה קריאה על בעיה ברכיב radiflow </t>
  </si>
  <si>
    <t>תקלה במיזוג בחוות השרתים - MDC</t>
  </si>
  <si>
    <t>תקלה במיזוג בחוות השרתים - MDC, אבי, מאיר מהמיזוג עלו לגג וטיפלו, היה חסר גז, לבסוף טופל והמיזוג תוקן....</t>
  </si>
  <si>
    <t>אבי, מאיר מהמיזוג עלו לגג וטיפלו, היה חסר גז, לבסוף טופל והמיזוג תוקן</t>
  </si>
  <si>
    <t>נפתחה קריאה על בעיית גיבוי בשרת MDC-OCN-SIEM-HYBRID 2285482</t>
  </si>
  <si>
    <t>Fixed Disk is in warning state - on  ...anix/data/stargate-storage/disks/S523NA0N302483 - on  ntnx-cz202208r7-a-cvm.IP: 10.101.9.82 Size: 1.7TB, Space Used: 1.5TB, Space Available: 206.3GB, Percent Used: 88%, Percent Available: 12%</t>
  </si>
  <si>
    <t>נפתחה קריאה על power supply 2288047</t>
  </si>
  <si>
    <t>OCN</t>
  </si>
  <si>
    <t xml:space="preserve">למעט 2285482 </t>
  </si>
  <si>
    <t>סיוע ליניב לויט עם רון בהעתקת קבצי BI שלא עברו מיום חמישי מסביבת ACN אל סביבת DMZ לנתיב בשרת DMZ-F2AZURE</t>
  </si>
  <si>
    <t>המשך מעקב מול יניב ורון לבדיקת תהליך העתקה אוטמטי ואם יש תקלה בהעברת הקבצים עקב שינוי מערכתי שהם בצעו ביום חמישי</t>
  </si>
  <si>
    <t>נפתחה קריאה לשדרוג מערכות ההפעלה 2291284</t>
  </si>
  <si>
    <t xml:space="preserve"> יצרתי התראה חדשה ב־SolarWinds  המתבססת על מצב הפורטים
 Radiflow (RL-DP-ADM-LVL_1-0.08-SW-CORE-TSY-CBN-OCN-L3SW001-3</t>
  </si>
  <si>
    <t>AFC Report - Yehidit TVM-1181 Bank Card Reader Error
צורף לדו"ח AFC</t>
  </si>
  <si>
    <t>MMIS 2292716</t>
  </si>
  <si>
    <t>הוחלפו שני ג'יביקים של פרטנר - פורט 0/0/0/6</t>
  </si>
  <si>
    <t>מתג בשם R04-AFC-SW-01, כל יום בשעה 04:15 עושה ריסטרט, אנו רוצים לדעת למה?</t>
  </si>
  <si>
    <t>פתיחת קריאה על CSC JAFFA ACS</t>
  </si>
  <si>
    <t>MMIS 2296561</t>
  </si>
  <si>
    <t>AFC Monitor - Allenby Part Function TVM 1161 Rav-Kav Card Issuer</t>
  </si>
  <si>
    <t>MMIS SR #2296561</t>
  </si>
  <si>
    <t>חיוג לפלאפון - אשר נתקל בניתוק מצד פלאפון, בקשר לשינוי מספר OTP מחזי אלינו</t>
  </si>
  <si>
    <t>המשך מעקב בנושא OTP של סימים של פלאפון - כעת בעבודה</t>
  </si>
  <si>
    <t>שחר מטרקלין מערכות (מערכת CCS - שעון) בדק את השרת בmdc ונמצא תקין</t>
  </si>
  <si>
    <t>בוצע מתן סיוע לcsoc אשר לא היה אף אחד בזמן המשמרת (ליבת חולה)</t>
  </si>
  <si>
    <t>דוח סימים של יום רביעי בוקר נתקע עכב חוסר אפשרות לבדוק סימים משניים של פלאפון - בוצע חיוג חוזר לפלאפון - למגזר הפרטי, בוצע סירוב להביא לנו טלפון אזרחי למגזר עסקי, אך הנציג ניסה ליצור קשר עם מנהלת הלקוח, ללא מענה, הנציג הסביר שרונן מנט"ע צריך ליצור עמם קשר</t>
  </si>
  <si>
    <t xml:space="preserve">המשך מעקב וטיפול </t>
  </si>
  <si>
    <t>SQL Server DBA, Danielle Biton, maintenance task: On the Secondary Server DBCC failed with an Error on the SSIS DB.  I spoke with Gabriel about the Issue and removed the SSIS DB from the Availability Group, for now it currently only exists on the Primary</t>
  </si>
  <si>
    <t>Open ticket MMIS SR #2300368</t>
  </si>
  <si>
    <t>Open ticket DBA maintenance Error SSIS DB Availability Group</t>
  </si>
  <si>
    <t>יצירת דוחות שרתים ונתבים של בינת באמצעות שאילתות SQL והתעסקות בSOLARWINDS DATA BASE</t>
  </si>
  <si>
    <t>פתחתי קריאה על FIXED DISK MDC-OCN-SQL2</t>
  </si>
  <si>
    <t>לעקוב בנוגע לגיבויים כושלים בACN - ההלפ דסק של CRTG יודע על הנושא</t>
  </si>
  <si>
    <t>נפתחה קריאה בMMIS בנוגע לגיבויים שנכשלו בACN - ההלפ דסק של CRTG יודע על הנושא</t>
  </si>
  <si>
    <t>Gate 5184 Out of Service In Bialik Station</t>
  </si>
  <si>
    <t>Problem with TVM 1090: BankNote Reader in Mahrozet Station</t>
  </si>
  <si>
    <t>Problem with Banknote Reader</t>
  </si>
  <si>
    <t>תקלה במסך ACN - בOCC</t>
  </si>
  <si>
    <t>טופל</t>
  </si>
  <si>
    <t>14:30-17:30</t>
  </si>
  <si>
    <t>PTW - 4812 - עבודות על DB של הפולס בחדר מקלט בOCN)FSCADA)</t>
  </si>
  <si>
    <t>Problem with: Bank Card Reader+Receipt Printer</t>
  </si>
  <si>
    <t>Problem with: Banknote Reader</t>
  </si>
  <si>
    <t>Shaked</t>
  </si>
  <si>
    <t>נשלח הודעה לגבריאל, לסשה, ולרון בנוגע לדיסק על קריטיקל</t>
  </si>
  <si>
    <t>נפתחה קריאה בתיאום עם חזי בנוגע לError Disabled של סוויץ' שנופל בו פורט 0006, פרטנר בדקו ורמות אור תקינות</t>
  </si>
  <si>
    <t>נפתחה קריאה על בעיית סנכרון יוזרים לשרתי לינוקס בActive Directory</t>
  </si>
  <si>
    <t>עודכנה קריאה 2309180</t>
  </si>
  <si>
    <t>Forti Upgrade PTW 4855</t>
  </si>
  <si>
    <t>10:00 - 14:00</t>
  </si>
  <si>
    <t>בעיה במיקרופון בחדר מנהל תחנת קרליבך</t>
  </si>
  <si>
    <t>בוצע מתן בקרה בsiem מאחר ולא היה אדם בcsoc</t>
  </si>
  <si>
    <t xml:space="preserve"> הסתיימו העבודות- כל הציודים עלו</t>
  </si>
  <si>
    <t>עקב עבודות חשמל בדיפו - נפלו מספר מתגים , ובקר גישה במבנה נהגים</t>
  </si>
  <si>
    <t>PTW 4885 - Upgrade ACN Switch Version - Gilad Livne Bynet</t>
  </si>
  <si>
    <t>12:00-13:00</t>
  </si>
  <si>
    <t xml:space="preserve">בוצע מעבר מocn לACN של טלפון שלוחה מספר </t>
  </si>
  <si>
    <t>PTW 4828 -שידרוג מערכת ACS בקרת גישה LNL</t>
  </si>
  <si>
    <t>09:00-19:00</t>
  </si>
  <si>
    <t>בדיקת כל שרתי דיאודה אם התחלפה השעה כראוי</t>
  </si>
  <si>
    <t>פענוח סקריפטAD TIME TRACKER לבדיקת  השעות של כלל השרתים, הסקריפט הנוכחי פשוט רושם שכל השעות של המחשבים לפי המחשב שלנו ויוצר אשליה שהכל תקין, לאחר בדיקה וזיהוי שבבינת כן משתמשים בסקריפט דומה המשתמש בעזרה של פרוטוקול WMI, אותו פרוטוקול צריך להזין ולהשתמש בסקריפט AD time tracker. ניתן בקלות לשים לב שכאשר אנחנו מרצינים את הסקריפט שלנו הוא ישר נותן תוצאה מבלי לגשת לשאר המחשבים, כאשר הסקריפט של בינת רץ הוא טוען ונכנס לכל מחשב ומחשב ולוקח זמן. בטיפול שלנו</t>
  </si>
  <si>
    <t>All DMRS device did not shift an hour following the clock change
SR: 2322242</t>
  </si>
  <si>
    <t>במהלך המשמרת התגלה כי יש שרתים שלא הוגדרו כראוי לalerts.
לאחר בדיקה מעמיקה שלי בתוך הDataBase נראה כי הבעיה העיקרית זה שלא הוכנסו מספיק פרטים עליו והsolarwinds לא רואה אותו כשרת. החלטתי לבצע התראה מיוחדת שלשם נכנסים Nodes ספציפים שנמצאים במצב לא מוגדר כמו "10.10.102.250".</t>
  </si>
  <si>
    <t>קריאה נפתחה</t>
  </si>
  <si>
    <t>לא מקבלים קבצי QOS, בטיפול ALSTOM.</t>
  </si>
  <si>
    <t>נפתחה קריאה 2326784</t>
  </si>
  <si>
    <t>המשך מעקב על תקלת קבצי QOS</t>
  </si>
  <si>
    <t>נפתחה קריאה בנוגע לSFP בשתי פורטים</t>
  </si>
  <si>
    <t>נפתחה קריאה לבקשת חזי ושמואל מנהל חדר בקרה על הקרנה למסך הגדול</t>
  </si>
  <si>
    <t>קבצי QOS לא עברו מאלסטום לתיקייה Waterfall_To_MMIS ,
בוצעה אסקלצייה מול תורן אלסטום, סוכם שיעבירו את הקבצים
ידנית לתיקייה או שישלחו במייל</t>
  </si>
  <si>
    <t>דימה העביר את הקבצים של 29/03/2025 אל שרת הקבצים ב OCN, אך GetTimetableData  ליום זה יצא פגום, לדבריו, עקב ניתוק ותקלה במערכת של אלסטום ויבדוק מול נרי אם ניתן לתקן \ לשחזר.
בהמשך אלכסנדרה שלחה לנו במייל את הקבצים GetTimetableData  עבור ימים 26-27-28/03/2025, והעליתי אותם ל SharePoint.</t>
  </si>
  <si>
    <t>בוצע - הועברו והועלו ל
SharePoint 26-28/03</t>
  </si>
  <si>
    <t>תורן אלסטום בצע טסט העברת קבצים לתיקייה Waterfall_To_MMIS,
עבר תקין. בדיקה ב 03:00 ע"י משמרת לילה ועדכון אלסטום בהתאם</t>
  </si>
  <si>
    <t>עבודה לילה עברה בהצלחה</t>
  </si>
  <si>
    <t xml:space="preserve"> נפתח קריאה בנוגע לwifi AP למטה 139</t>
  </si>
  <si>
    <t>מעקב קריאות מתגים תקולים שלא טופלו זמן רב- נשלח מייל ל CRTG עם פירוט
הקריאות ובקשה לתאום מול צוות חשמל תבל לעדכון מדוייק יותר</t>
  </si>
  <si>
    <t>המשך אסקלציה מול אלסטום - הועברו כל הקבצים החסרים מ 26-30/03/2025 לתיקייה waterfall_to_mmis ב OCN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</si>
</sst>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d\ yyyy"/>
    <numFmt numFmtId="165" formatCode="d"/>
  </numFmts>
  <fonts count="56" x14ac:knownFonts="1">
    <font>
      <sz val="11"/>
      <color theme="1"/>
      <name val="Calibri"/>
      <family val="2"/>
      <scheme val="minor"/>
    </font>
    <font>
      <b/>
      <sz val="11"/>
      <color rgb="FF3F3F3F"/>
      <name val="Calibri"/>
      <family val="2"/>
      <scheme val="minor"/>
    </font>
    <font>
      <sz val="11"/>
      <color rgb="FFFF0000"/>
      <name val="Calibri"/>
      <family val="2"/>
      <scheme val="minor"/>
    </font>
    <font>
      <b/>
      <sz val="28"/>
      <color theme="0"/>
      <name val="Aharoni"/>
      <charset val="177"/>
    </font>
    <font>
      <sz val="36"/>
      <color theme="0"/>
      <name val="Aharoni"/>
      <charset val="177"/>
    </font>
    <font>
      <sz val="20"/>
      <color theme="1"/>
      <name val="Heebo Black"/>
    </font>
    <font>
      <b/>
      <sz val="14"/>
      <color rgb="FF3F3F3F"/>
      <name val="Calibri"/>
      <family val="2"/>
      <scheme val="minor"/>
    </font>
    <font>
      <sz val="11"/>
      <color theme="1"/>
      <name val="Calibri"/>
      <family val="2"/>
    </font>
    <font>
      <b/>
      <sz val="40"/>
      <color theme="0"/>
      <name val="Aharoni"/>
      <charset val="177"/>
    </font>
    <font>
      <b/>
      <sz val="10"/>
      <name val="Aharoni"/>
      <charset val="177"/>
    </font>
    <font>
      <b/>
      <sz val="11"/>
      <color theme="1"/>
      <name val="Calibri"/>
      <family val="2"/>
    </font>
    <font>
      <sz val="10"/>
      <color theme="1"/>
      <name val="Calibri"/>
      <family val="2"/>
    </font>
    <font>
      <sz val="11"/>
      <color rgb="FF9C0006"/>
      <name val="Calibri"/>
      <family val="2"/>
      <charset val="1"/>
      <scheme val="minor"/>
    </font>
    <font>
      <b/>
      <sz val="11"/>
      <color rgb="FF9C0006"/>
      <name val="Calibri"/>
      <family val="2"/>
      <scheme val="minor"/>
    </font>
    <font>
      <b/>
      <sz val="11"/>
      <color theme="0"/>
      <name val="Calibri"/>
      <family val="2"/>
    </font>
    <font>
      <sz val="11"/>
      <color theme="0"/>
      <name val="Calibri"/>
      <family val="2"/>
      <scheme val="minor"/>
    </font>
    <font>
      <b/>
      <sz val="40"/>
      <color rgb="FFF4F7FA"/>
      <name val="Aharoni"/>
      <charset val="177"/>
    </font>
    <font>
      <sz val="8"/>
      <name val="Calibri"/>
      <family val="2"/>
      <scheme val="minor"/>
    </font>
    <font>
      <b/>
      <sz val="12"/>
      <color theme="1"/>
      <name val="Calibri"/>
      <family val="2"/>
    </font>
    <font>
      <b/>
      <u/>
      <sz val="12"/>
      <color theme="1"/>
      <name val="Calibri"/>
      <family val="2"/>
    </font>
    <font>
      <sz val="11"/>
      <color theme="0"/>
      <name val="Calibri"/>
      <family val="2"/>
      <charset val="177"/>
      <scheme val="minor"/>
    </font>
    <font>
      <b/>
      <sz val="11"/>
      <name val="Calibri"/>
      <family val="2"/>
      <scheme val="minor"/>
    </font>
    <font>
      <b/>
      <u/>
      <sz val="11"/>
      <name val="Calibri"/>
      <family val="2"/>
      <scheme val="minor"/>
    </font>
    <font>
      <b/>
      <sz val="12"/>
      <color theme="0"/>
      <name val="Calibri"/>
      <family val="2"/>
    </font>
    <font>
      <b/>
      <sz val="12"/>
      <color rgb="FF00B0F0"/>
      <name val="Calibri"/>
      <family val="2"/>
    </font>
    <font>
      <b/>
      <sz val="18"/>
      <color rgb="FFFF0000"/>
      <name val="Calibri"/>
      <family val="2"/>
    </font>
    <font>
      <b/>
      <sz val="24"/>
      <color theme="1"/>
      <name val="Calibri"/>
      <family val="2"/>
    </font>
    <font>
      <b/>
      <sz val="26"/>
      <color rgb="FFF6EAF5"/>
      <name val="Calibri"/>
      <family val="2"/>
    </font>
    <font>
      <b/>
      <sz val="18"/>
      <color rgb="FFF6EAF5"/>
      <name val="Calibri"/>
      <family val="2"/>
    </font>
    <font>
      <b/>
      <sz val="26"/>
      <name val="Calibri"/>
      <family val="2"/>
    </font>
    <font>
      <sz val="11"/>
      <color theme="1"/>
      <name val="Calibri"/>
      <family val="2"/>
      <charset val="177"/>
      <scheme val="minor"/>
    </font>
    <font>
      <sz val="11"/>
      <color theme="1"/>
      <name val="Calibri"/>
      <family val="2"/>
      <charset val="1"/>
      <scheme val="minor"/>
    </font>
    <font>
      <b/>
      <sz val="11"/>
      <color theme="0"/>
      <name val="Calibri"/>
      <family val="2"/>
      <charset val="1"/>
      <scheme val="minor"/>
    </font>
    <font>
      <b/>
      <sz val="11"/>
      <color theme="1"/>
      <name val="Calibri"/>
      <family val="2"/>
      <scheme val="minor"/>
    </font>
    <font>
      <sz val="11"/>
      <color theme="1"/>
      <name val="Aharoni"/>
      <charset val="177"/>
    </font>
    <font>
      <b/>
      <sz val="11"/>
      <color theme="1"/>
      <name val="Aharoni"/>
      <charset val="177"/>
    </font>
    <font>
      <b/>
      <sz val="14"/>
      <color rgb="FFFF0000"/>
      <name val="Calibri"/>
      <family val="2"/>
      <scheme val="minor"/>
    </font>
    <font>
      <b/>
      <sz val="14"/>
      <color rgb="FF3F3F3F"/>
      <name val="Heebo Black"/>
    </font>
    <font>
      <sz val="26"/>
      <color rgb="FFF4F7FA"/>
      <name val="Aharoni"/>
      <charset val="177"/>
    </font>
    <font>
      <sz val="20"/>
      <color rgb="FFF4F7FA"/>
      <name val="Aharoni"/>
      <charset val="177"/>
    </font>
    <font>
      <b/>
      <sz val="26"/>
      <color rgb="FFF4F7FA"/>
      <name val="Aharoni"/>
      <charset val="177"/>
    </font>
    <font>
      <b/>
      <sz val="11"/>
      <color theme="0"/>
      <name val="Calibri"/>
      <family val="2"/>
      <scheme val="minor"/>
    </font>
    <font>
      <b/>
      <sz val="22"/>
      <color theme="1"/>
      <name val="Calibri"/>
      <family val="2"/>
      <scheme val="minor"/>
    </font>
    <font>
      <b/>
      <sz val="48"/>
      <color theme="1"/>
      <name val="Calibri"/>
      <family val="2"/>
      <scheme val="minor"/>
    </font>
    <font>
      <sz val="12"/>
      <color theme="1"/>
      <name val="Calibri"/>
      <family val="2"/>
      <scheme val="minor"/>
    </font>
    <font>
      <sz val="8"/>
      <color theme="1"/>
      <name val="Calibri"/>
      <family val="2"/>
      <scheme val="minor"/>
    </font>
    <font>
      <sz val="11"/>
      <color rgb="FF000000"/>
      <name val="Calibri"/>
      <family val="2"/>
      <scheme val="minor"/>
    </font>
    <font>
      <sz val="11"/>
      <color theme="1"/>
      <name val="Calibri"/>
    </font>
    <font>
      <sz val="10"/>
      <color theme="1"/>
      <name val="Calibri"/>
    </font>
    <font>
      <sz val="11"/>
      <color rgb="FFF2F2F2"/>
      <name val="Calibri"/>
      <family val="2"/>
    </font>
    <font>
      <b/>
      <sz val="14"/>
      <color rgb="FFF2F2F2"/>
      <name val="Calibri"/>
      <family val="2"/>
      <scheme val="minor"/>
    </font>
    <font>
      <sz val="10"/>
      <color rgb="FF000000"/>
      <name val="Calibri"/>
    </font>
    <font>
      <b/>
      <sz val="12"/>
      <color rgb="FF3F3F3F"/>
      <name val="Calibri"/>
      <family val="2"/>
      <scheme val="minor"/>
    </font>
    <font>
      <b/>
      <sz val="16"/>
      <color rgb="FF3F3F3F"/>
      <name val="Calibri"/>
      <family val="2"/>
      <scheme val="minor"/>
    </font>
    <font>
      <sz val="12"/>
      <color rgb="FF3F3F3F"/>
      <name val="Calibri"/>
      <family val="2"/>
      <scheme val="minor"/>
    </font>
    <font>
      <sz val="10"/>
      <color rgb="FF3F3F3F"/>
      <name val="Calibri"/>
      <family val="2"/>
      <scheme val="minor"/>
    </font>
  </fonts>
  <fills count="26">
    <fill>
      <patternFill patternType="none"/>
    </fill>
    <fill>
      <patternFill patternType="gray125"/>
    </fill>
    <fill>
      <patternFill patternType="solid">
        <fgColor rgb="FFF2F2F2"/>
      </patternFill>
    </fill>
    <fill>
      <patternFill patternType="solid">
        <fgColor rgb="FFF4F7FA"/>
        <bgColor indexed="64"/>
      </patternFill>
    </fill>
    <fill>
      <patternFill patternType="solid">
        <fgColor rgb="FFBFBFBF"/>
        <bgColor indexed="64"/>
      </patternFill>
    </fill>
    <fill>
      <patternFill patternType="solid">
        <fgColor rgb="FFFFC7CE"/>
      </patternFill>
    </fill>
    <fill>
      <patternFill patternType="solid">
        <fgColor rgb="FF7030A0"/>
        <bgColor indexed="64"/>
      </patternFill>
    </fill>
    <fill>
      <patternFill patternType="solid">
        <fgColor theme="4" tint="0.59999389629810485"/>
        <bgColor indexed="64"/>
      </patternFill>
    </fill>
    <fill>
      <patternFill patternType="solid">
        <fgColor rgb="FFB51D1D"/>
        <bgColor indexed="64"/>
      </patternFill>
    </fill>
    <fill>
      <patternFill patternType="solid">
        <fgColor rgb="FFFFFF00"/>
        <bgColor indexed="64"/>
      </patternFill>
    </fill>
    <fill>
      <patternFill patternType="solid">
        <fgColor rgb="FF92D050"/>
        <bgColor indexed="64"/>
      </patternFill>
    </fill>
    <fill>
      <patternFill patternType="solid">
        <fgColor rgb="FFA5A5A5"/>
      </patternFill>
    </fill>
    <fill>
      <patternFill patternType="solid">
        <fgColor theme="4"/>
      </patternFill>
    </fill>
    <fill>
      <patternFill patternType="solid">
        <fgColor rgb="FFFFC000"/>
        <bgColor indexed="64"/>
      </patternFill>
    </fill>
    <fill>
      <patternFill patternType="solid">
        <fgColor rgb="FF00B050"/>
        <bgColor indexed="64"/>
      </patternFill>
    </fill>
    <fill>
      <patternFill patternType="solid">
        <fgColor theme="8" tint="0.39997558519241921"/>
        <bgColor indexed="64"/>
      </patternFill>
    </fill>
    <fill>
      <patternFill patternType="solid">
        <fgColor rgb="FFF6EAF5"/>
        <bgColor indexed="64"/>
      </patternFill>
    </fill>
    <fill>
      <patternFill patternType="solid">
        <fgColor rgb="FFF7FFF8"/>
        <bgColor indexed="64"/>
      </patternFill>
    </fill>
    <fill>
      <patternFill patternType="solid">
        <fgColor theme="0" tint="-4.9989318521683403E-2"/>
        <bgColor indexed="64"/>
      </patternFill>
    </fill>
    <fill>
      <patternFill patternType="solid">
        <fgColor rgb="FFFF5757"/>
        <bgColor indexed="64"/>
      </patternFill>
    </fill>
    <fill>
      <patternFill patternType="solid">
        <fgColor rgb="FFF2F2F2"/>
        <bgColor indexed="64"/>
      </patternFill>
    </fill>
    <fill>
      <patternFill patternType="solid">
        <fgColor theme="0"/>
        <bgColor indexed="64"/>
      </patternFill>
    </fill>
    <fill>
      <patternFill patternType="solid">
        <fgColor theme="6" tint="0.79998168889431442"/>
        <bgColor indexed="64"/>
      </patternFill>
    </fill>
    <fill>
      <patternFill patternType="solid">
        <fgColor theme="1"/>
        <bgColor indexed="64"/>
      </patternFill>
    </fill>
    <fill>
      <patternFill patternType="solid">
        <fgColor theme="1" tint="0.34998626667073579"/>
        <bgColor indexed="64"/>
      </patternFill>
    </fill>
    <fill>
      <patternFill patternType="solid">
        <fgColor rgb="FFF0FFEF"/>
        <bgColor indexed="64"/>
      </patternFill>
    </fill>
  </fills>
  <borders count="58">
    <border>
      <left/>
      <right/>
      <top/>
      <bottom/>
      <diagonal/>
    </border>
    <border>
      <left style="thin">
        <color rgb="FF3F3F3F"/>
      </left>
      <right style="thin">
        <color rgb="FF3F3F3F"/>
      </right>
      <top style="thin">
        <color rgb="FF3F3F3F"/>
      </top>
      <bottom style="thin">
        <color rgb="FF3F3F3F"/>
      </bottom>
      <diagonal/>
    </border>
    <border>
      <left/>
      <right/>
      <top style="thin">
        <color theme="0"/>
      </top>
      <bottom/>
      <diagonal/>
    </border>
    <border>
      <left/>
      <right/>
      <top/>
      <bottom style="thin">
        <color theme="1"/>
      </bottom>
      <diagonal/>
    </border>
    <border>
      <left/>
      <right/>
      <top style="thin">
        <color theme="1"/>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double">
        <color rgb="FFFF0000"/>
      </bottom>
      <diagonal/>
    </border>
    <border>
      <left/>
      <right/>
      <top style="double">
        <color rgb="FFFF0000"/>
      </top>
      <bottom/>
      <diagonal/>
    </border>
    <border>
      <left/>
      <right/>
      <top/>
      <bottom style="medium">
        <color theme="1"/>
      </bottom>
      <diagonal/>
    </border>
    <border>
      <left/>
      <right/>
      <top style="medium">
        <color theme="1"/>
      </top>
      <bottom/>
      <diagonal/>
    </border>
    <border>
      <left/>
      <right style="medium">
        <color theme="1"/>
      </right>
      <top style="medium">
        <color theme="1"/>
      </top>
      <bottom/>
      <diagonal/>
    </border>
    <border>
      <left/>
      <right style="medium">
        <color theme="1"/>
      </right>
      <top/>
      <bottom/>
      <diagonal/>
    </border>
    <border>
      <left/>
      <right style="medium">
        <color theme="1"/>
      </right>
      <top/>
      <bottom style="thin">
        <color theme="1"/>
      </bottom>
      <diagonal/>
    </border>
    <border>
      <left/>
      <right style="medium">
        <color theme="1"/>
      </right>
      <top/>
      <bottom style="medium">
        <color theme="1"/>
      </bottom>
      <diagonal/>
    </border>
    <border>
      <left/>
      <right style="thin">
        <color theme="1"/>
      </right>
      <top style="medium">
        <color theme="1"/>
      </top>
      <bottom/>
      <diagonal/>
    </border>
    <border>
      <left/>
      <right style="thin">
        <color theme="1"/>
      </right>
      <top/>
      <bottom/>
      <diagonal/>
    </border>
    <border>
      <left/>
      <right style="thin">
        <color theme="1"/>
      </right>
      <top/>
      <bottom style="thin">
        <color theme="1"/>
      </bottom>
      <diagonal/>
    </border>
    <border>
      <left/>
      <right style="thin">
        <color theme="1"/>
      </right>
      <top style="thin">
        <color theme="1"/>
      </top>
      <bottom/>
      <diagonal/>
    </border>
    <border>
      <left/>
      <right style="thin">
        <color theme="1"/>
      </right>
      <top/>
      <bottom style="medium">
        <color theme="1"/>
      </bottom>
      <diagonal/>
    </border>
    <border>
      <left style="medium">
        <color theme="1"/>
      </left>
      <right style="thin">
        <color theme="1"/>
      </right>
      <top/>
      <bottom style="medium">
        <color theme="1"/>
      </bottom>
      <diagonal/>
    </border>
    <border>
      <left style="medium">
        <color theme="1"/>
      </left>
      <right style="thin">
        <color theme="1"/>
      </right>
      <top style="thin">
        <color theme="1"/>
      </top>
      <bottom/>
      <diagonal/>
    </border>
    <border>
      <left style="medium">
        <color theme="1"/>
      </left>
      <right style="thin">
        <color theme="1"/>
      </right>
      <top style="medium">
        <color theme="1"/>
      </top>
      <bottom/>
      <diagonal/>
    </border>
    <border>
      <left style="medium">
        <color theme="1"/>
      </left>
      <right style="thin">
        <color theme="1"/>
      </right>
      <top/>
      <bottom/>
      <diagonal/>
    </border>
    <border>
      <left style="medium">
        <color theme="1"/>
      </left>
      <right style="thin">
        <color theme="1"/>
      </right>
      <top/>
      <bottom style="thin">
        <color theme="1"/>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7">
    <xf numFmtId="0" fontId="0" fillId="0" borderId="0"/>
    <xf numFmtId="0" fontId="1" fillId="2" borderId="1" applyNumberFormat="0" applyAlignment="0" applyProtection="0"/>
    <xf numFmtId="0" fontId="12" fillId="5" borderId="0" applyNumberFormat="0" applyBorder="0" applyAlignment="0" applyProtection="0"/>
    <xf numFmtId="0" fontId="15" fillId="12" borderId="0" applyNumberFormat="0" applyBorder="0" applyAlignment="0" applyProtection="0"/>
    <xf numFmtId="0" fontId="31" fillId="0" borderId="0"/>
    <xf numFmtId="0" fontId="32" fillId="11" borderId="11" applyNumberFormat="0" applyAlignment="0" applyProtection="0"/>
    <xf numFmtId="0" fontId="20" fillId="12" borderId="0" applyNumberFormat="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cellStyleXfs>
  <cellXfs count="275">
    <xf numFmtId="0" fontId="0" fillId="0" borderId="0" xfId="0"/>
    <xf numFmtId="0" fontId="0" fillId="3" borderId="0" xfId="0" applyFill="1"/>
    <xf numFmtId="0" fontId="2" fillId="3" borderId="0" xfId="0" applyFont="1" applyFill="1" applyAlignment="1">
      <alignment vertical="top"/>
    </xf>
    <xf numFmtId="0" fontId="0" fillId="3" borderId="2" xfId="0" applyFill="1" applyBorder="1"/>
    <xf numFmtId="0" fontId="3" fillId="3" borderId="0" xfId="0" applyFont="1" applyFill="1" applyAlignment="1">
      <alignment vertical="top"/>
    </xf>
    <xf numFmtId="0" fontId="0" fillId="0" borderId="0" xfId="0" applyAlignment="1">
      <alignment wrapText="1"/>
    </xf>
    <xf numFmtId="0" fontId="9" fillId="3" borderId="0" xfId="0" applyFont="1" applyFill="1" applyAlignment="1">
      <alignment horizontal="center" vertical="center"/>
    </xf>
    <xf numFmtId="0" fontId="7" fillId="0" borderId="7" xfId="0" applyFont="1" applyBorder="1" applyAlignment="1">
      <alignment horizontal="center" vertical="center" wrapText="1"/>
    </xf>
    <xf numFmtId="0" fontId="7" fillId="0" borderId="9" xfId="0" applyFont="1" applyBorder="1" applyAlignment="1">
      <alignment horizontal="center" vertical="center" wrapText="1"/>
    </xf>
    <xf numFmtId="0" fontId="7" fillId="4" borderId="5" xfId="0" applyFont="1" applyFill="1" applyBorder="1" applyAlignment="1">
      <alignment horizontal="center"/>
    </xf>
    <xf numFmtId="0" fontId="7" fillId="4" borderId="15" xfId="0" applyFont="1" applyFill="1" applyBorder="1" applyAlignment="1">
      <alignment horizontal="center" vertical="center" wrapText="1"/>
    </xf>
    <xf numFmtId="0" fontId="7" fillId="4" borderId="6" xfId="0" applyFont="1" applyFill="1" applyBorder="1" applyAlignment="1">
      <alignment horizontal="center" vertical="center"/>
    </xf>
    <xf numFmtId="0" fontId="7" fillId="0" borderId="8" xfId="0" applyFont="1" applyBorder="1" applyAlignment="1">
      <alignment horizontal="center" vertical="center"/>
    </xf>
    <xf numFmtId="0" fontId="18" fillId="13" borderId="7" xfId="0" applyFont="1" applyFill="1" applyBorder="1" applyAlignment="1">
      <alignment horizontal="right" vertical="center" wrapText="1"/>
    </xf>
    <xf numFmtId="0" fontId="7" fillId="0" borderId="9" xfId="0" applyFont="1" applyBorder="1" applyAlignment="1">
      <alignment horizontal="center" vertical="center"/>
    </xf>
    <xf numFmtId="0" fontId="21" fillId="12" borderId="7" xfId="3" applyFont="1" applyBorder="1" applyAlignment="1">
      <alignment horizontal="right" vertical="center" wrapText="1"/>
    </xf>
    <xf numFmtId="0" fontId="18" fillId="14" borderId="7" xfId="0" applyFont="1" applyFill="1" applyBorder="1" applyAlignment="1">
      <alignment horizontal="right" vertical="center" wrapText="1"/>
    </xf>
    <xf numFmtId="0" fontId="18" fillId="9" borderId="7" xfId="0" applyFont="1" applyFill="1" applyBorder="1" applyAlignment="1">
      <alignment horizontal="right" vertical="center" wrapText="1"/>
    </xf>
    <xf numFmtId="0" fontId="7" fillId="0" borderId="16" xfId="0" applyFont="1" applyBorder="1" applyAlignment="1">
      <alignment horizontal="center" vertical="center"/>
    </xf>
    <xf numFmtId="0" fontId="7" fillId="0" borderId="17" xfId="0" applyFont="1" applyBorder="1" applyAlignment="1">
      <alignment horizontal="center" vertical="center" wrapText="1"/>
    </xf>
    <xf numFmtId="0" fontId="7" fillId="0" borderId="10" xfId="0" applyFont="1" applyBorder="1" applyAlignment="1">
      <alignment horizontal="center" vertical="center"/>
    </xf>
    <xf numFmtId="0" fontId="0" fillId="16" borderId="0" xfId="0" applyFill="1"/>
    <xf numFmtId="0" fontId="13" fillId="7" borderId="22" xfId="2" applyFont="1" applyFill="1" applyBorder="1" applyAlignment="1">
      <alignment horizontal="center" vertical="center" wrapText="1"/>
    </xf>
    <xf numFmtId="0" fontId="10" fillId="0" borderId="22" xfId="0" applyFont="1" applyBorder="1" applyAlignment="1">
      <alignment horizontal="center" vertical="center" wrapText="1" readingOrder="2"/>
    </xf>
    <xf numFmtId="0" fontId="14" fillId="8" borderId="22" xfId="0" applyFont="1" applyFill="1" applyBorder="1" applyAlignment="1">
      <alignment horizontal="center" vertical="center" wrapText="1" readingOrder="2"/>
    </xf>
    <xf numFmtId="0" fontId="10" fillId="9" borderId="18" xfId="0" applyFont="1" applyFill="1" applyBorder="1" applyAlignment="1">
      <alignment horizontal="center" vertical="center" wrapText="1"/>
    </xf>
    <xf numFmtId="0" fontId="7" fillId="0" borderId="21" xfId="0" applyFont="1" applyBorder="1" applyAlignment="1">
      <alignment horizontal="center" vertical="center" wrapText="1"/>
    </xf>
    <xf numFmtId="0" fontId="7" fillId="0" borderId="21" xfId="0" applyFont="1" applyBorder="1" applyAlignment="1">
      <alignment horizontal="center" vertical="center" wrapText="1" readingOrder="2"/>
    </xf>
    <xf numFmtId="0" fontId="10" fillId="0" borderId="18" xfId="0" applyFont="1" applyBorder="1" applyAlignment="1">
      <alignment horizontal="center" vertical="center" wrapText="1"/>
    </xf>
    <xf numFmtId="0" fontId="7" fillId="7" borderId="21" xfId="0" applyFont="1" applyFill="1" applyBorder="1" applyAlignment="1">
      <alignment horizontal="center" vertical="center" wrapText="1" readingOrder="2"/>
    </xf>
    <xf numFmtId="0" fontId="14" fillId="8" borderId="18" xfId="0" applyFont="1" applyFill="1" applyBorder="1" applyAlignment="1">
      <alignment horizontal="center" vertical="center" wrapText="1" readingOrder="2"/>
    </xf>
    <xf numFmtId="0" fontId="10" fillId="0" borderId="18" xfId="0" applyFont="1" applyBorder="1" applyAlignment="1">
      <alignment horizontal="center" vertical="center" wrapText="1" readingOrder="2"/>
    </xf>
    <xf numFmtId="0" fontId="0" fillId="17" borderId="0" xfId="0" applyFill="1"/>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11" fillId="17" borderId="0" xfId="0" applyFont="1" applyFill="1" applyAlignment="1">
      <alignment horizontal="center" vertical="center" wrapText="1"/>
    </xf>
    <xf numFmtId="14" fontId="7" fillId="17" borderId="0" xfId="0" applyNumberFormat="1" applyFont="1" applyFill="1" applyAlignment="1">
      <alignment horizontal="center" vertical="center"/>
    </xf>
    <xf numFmtId="0" fontId="6" fillId="3" borderId="0" xfId="1" applyFont="1" applyFill="1" applyBorder="1" applyAlignment="1">
      <alignment horizontal="right" vertical="top" readingOrder="2"/>
    </xf>
    <xf numFmtId="0" fontId="6" fillId="3" borderId="0" xfId="0" applyFont="1" applyFill="1" applyAlignment="1">
      <alignment horizontal="right" vertical="top" readingOrder="2"/>
    </xf>
    <xf numFmtId="0" fontId="33" fillId="0" borderId="0" xfId="0" applyFont="1"/>
    <xf numFmtId="0" fontId="7" fillId="3" borderId="0" xfId="0" applyFont="1" applyFill="1" applyAlignment="1">
      <alignment vertical="center" wrapText="1"/>
    </xf>
    <xf numFmtId="0" fontId="7" fillId="3" borderId="0" xfId="0" applyFont="1" applyFill="1" applyAlignment="1">
      <alignment vertical="center"/>
    </xf>
    <xf numFmtId="0" fontId="4" fillId="3" borderId="0" xfId="0" applyFont="1" applyFill="1" applyAlignment="1">
      <alignment vertical="center"/>
    </xf>
    <xf numFmtId="0" fontId="7" fillId="3" borderId="0" xfId="0" applyFont="1" applyFill="1" applyAlignment="1">
      <alignment horizontal="center" vertical="center"/>
    </xf>
    <xf numFmtId="14" fontId="2" fillId="3" borderId="0" xfId="0" applyNumberFormat="1" applyFont="1" applyFill="1" applyAlignment="1">
      <alignment vertical="top"/>
    </xf>
    <xf numFmtId="0" fontId="8" fillId="3" borderId="23" xfId="0" applyFont="1" applyFill="1" applyBorder="1" applyAlignment="1">
      <alignment vertical="center"/>
    </xf>
    <xf numFmtId="0" fontId="16" fillId="3" borderId="23" xfId="0" applyFont="1" applyFill="1" applyBorder="1" applyAlignment="1">
      <alignment vertical="center"/>
    </xf>
    <xf numFmtId="0" fontId="0" fillId="20" borderId="0" xfId="0" applyFill="1" applyAlignment="1">
      <alignment horizontal="center"/>
    </xf>
    <xf numFmtId="0" fontId="0" fillId="3" borderId="0" xfId="0" applyFill="1" applyAlignment="1">
      <alignment horizontal="center"/>
    </xf>
    <xf numFmtId="0" fontId="36" fillId="3" borderId="0" xfId="1" applyFont="1" applyFill="1" applyBorder="1" applyAlignment="1">
      <alignment horizontal="center"/>
    </xf>
    <xf numFmtId="0" fontId="36" fillId="2" borderId="0" xfId="1" applyFont="1" applyBorder="1" applyAlignment="1">
      <alignment horizontal="center"/>
    </xf>
    <xf numFmtId="14" fontId="3" fillId="3" borderId="0" xfId="0" applyNumberFormat="1" applyFont="1" applyFill="1" applyAlignment="1">
      <alignment vertical="top"/>
    </xf>
    <xf numFmtId="0" fontId="6" fillId="3" borderId="0" xfId="1" applyFont="1" applyFill="1" applyBorder="1" applyAlignment="1">
      <alignment horizontal="right" vertical="top" wrapText="1" readingOrder="2"/>
    </xf>
    <xf numFmtId="0" fontId="6" fillId="3" borderId="0" xfId="1" applyFont="1" applyFill="1" applyBorder="1" applyAlignment="1">
      <alignment horizontal="right" readingOrder="2"/>
    </xf>
    <xf numFmtId="0" fontId="0" fillId="0" borderId="3" xfId="0" applyBorder="1"/>
    <xf numFmtId="0" fontId="0" fillId="21" borderId="0" xfId="0" applyFill="1" applyAlignment="1">
      <alignment horizontal="center"/>
    </xf>
    <xf numFmtId="0" fontId="0" fillId="21" borderId="0" xfId="0" applyFill="1"/>
    <xf numFmtId="0" fontId="33" fillId="21" borderId="0" xfId="0" applyFont="1" applyFill="1"/>
    <xf numFmtId="0" fontId="6" fillId="3" borderId="0" xfId="1" applyFont="1" applyFill="1" applyBorder="1" applyAlignment="1">
      <alignment horizontal="right" vertical="top"/>
    </xf>
    <xf numFmtId="0" fontId="6" fillId="3" borderId="0" xfId="0" applyFont="1" applyFill="1" applyAlignment="1">
      <alignment horizontal="right" vertical="top"/>
    </xf>
    <xf numFmtId="0" fontId="6" fillId="3" borderId="0" xfId="1" applyFont="1" applyFill="1" applyBorder="1" applyAlignment="1">
      <alignment horizontal="right" vertical="top" wrapText="1"/>
    </xf>
    <xf numFmtId="0" fontId="37" fillId="3" borderId="0" xfId="0" applyFont="1" applyFill="1" applyAlignment="1">
      <alignment horizontal="right" vertical="top"/>
    </xf>
    <xf numFmtId="0" fontId="0" fillId="0" borderId="0" xfId="0" applyAlignment="1">
      <alignment horizontal="center"/>
    </xf>
    <xf numFmtId="14" fontId="15" fillId="0" borderId="0" xfId="0" applyNumberFormat="1" applyFont="1" applyAlignment="1">
      <alignment horizontal="center" vertical="center"/>
    </xf>
    <xf numFmtId="0" fontId="15" fillId="0" borderId="0" xfId="0" applyFont="1" applyAlignment="1">
      <alignment horizontal="center"/>
    </xf>
    <xf numFmtId="0" fontId="0" fillId="0" borderId="0" xfId="0" applyProtection="1">
      <protection locked="0"/>
    </xf>
    <xf numFmtId="0" fontId="42" fillId="9" borderId="7" xfId="0" applyFont="1" applyFill="1" applyBorder="1" applyAlignment="1" applyProtection="1">
      <alignment horizontal="center" vertical="center"/>
      <protection locked="0"/>
    </xf>
    <xf numFmtId="0" fontId="41" fillId="23" borderId="44" xfId="0" applyFont="1" applyFill="1" applyBorder="1" applyAlignment="1">
      <alignment horizontal="center"/>
    </xf>
    <xf numFmtId="0" fontId="41" fillId="23" borderId="45" xfId="0" applyFont="1" applyFill="1" applyBorder="1" applyAlignment="1">
      <alignment horizontal="center"/>
    </xf>
    <xf numFmtId="0" fontId="41" fillId="23" borderId="46" xfId="0" applyFont="1" applyFill="1" applyBorder="1" applyAlignment="1">
      <alignment horizontal="center"/>
    </xf>
    <xf numFmtId="164" fontId="44" fillId="0" borderId="0" xfId="0" applyNumberFormat="1" applyFont="1" applyAlignment="1" applyProtection="1">
      <alignment horizontal="center"/>
      <protection locked="0"/>
    </xf>
    <xf numFmtId="0" fontId="44" fillId="0" borderId="0" xfId="0" applyFont="1" applyAlignment="1" applyProtection="1">
      <alignment horizontal="center"/>
      <protection locked="0"/>
    </xf>
    <xf numFmtId="165" fontId="15" fillId="24" borderId="21" xfId="0" applyNumberFormat="1" applyFont="1" applyFill="1" applyBorder="1" applyProtection="1">
      <protection locked="0" hidden="1"/>
    </xf>
    <xf numFmtId="165" fontId="45" fillId="21" borderId="22" xfId="0" applyNumberFormat="1" applyFont="1" applyFill="1" applyBorder="1" applyProtection="1">
      <protection locked="0" hidden="1"/>
    </xf>
    <xf numFmtId="165" fontId="15" fillId="24" borderId="18" xfId="0" applyNumberFormat="1" applyFont="1" applyFill="1" applyBorder="1" applyProtection="1">
      <protection locked="0" hidden="1"/>
    </xf>
    <xf numFmtId="165" fontId="15" fillId="24" borderId="7" xfId="0" applyNumberFormat="1" applyFont="1" applyFill="1" applyBorder="1" applyProtection="1">
      <protection locked="0" hidden="1"/>
    </xf>
    <xf numFmtId="0" fontId="0" fillId="21" borderId="0" xfId="0" applyFill="1" applyProtection="1">
      <protection locked="0"/>
    </xf>
    <xf numFmtId="165" fontId="45" fillId="21" borderId="18" xfId="0" applyNumberFormat="1" applyFont="1" applyFill="1" applyBorder="1" applyProtection="1">
      <protection locked="0" hidden="1"/>
    </xf>
    <xf numFmtId="0" fontId="0" fillId="0" borderId="0" xfId="0" applyAlignment="1" applyProtection="1">
      <alignment vertical="top"/>
      <protection locked="0"/>
    </xf>
    <xf numFmtId="0" fontId="44" fillId="0" borderId="0" xfId="0" applyFont="1" applyAlignment="1" applyProtection="1">
      <alignment horizontal="center" vertical="top"/>
      <protection locked="0"/>
    </xf>
    <xf numFmtId="164" fontId="45" fillId="0" borderId="0" xfId="0" applyNumberFormat="1" applyFont="1" applyAlignment="1" applyProtection="1">
      <alignment horizontal="center" vertical="center"/>
      <protection locked="0"/>
    </xf>
    <xf numFmtId="0" fontId="45" fillId="0" borderId="0" xfId="0" applyFont="1" applyAlignment="1" applyProtection="1">
      <alignment horizontal="center" vertical="center"/>
      <protection locked="0"/>
    </xf>
    <xf numFmtId="0" fontId="46" fillId="0" borderId="7" xfId="0" applyFont="1" applyBorder="1" applyAlignment="1">
      <alignment horizontal="center" vertical="center" wrapText="1" readingOrder="2"/>
    </xf>
    <xf numFmtId="0" fontId="46" fillId="25" borderId="7" xfId="0" applyFont="1" applyFill="1" applyBorder="1" applyAlignment="1">
      <alignment horizontal="center" vertical="center" wrapText="1" readingOrder="1"/>
    </xf>
    <xf numFmtId="0" fontId="46" fillId="25" borderId="21" xfId="0" applyFont="1" applyFill="1" applyBorder="1" applyAlignment="1">
      <alignment horizontal="center" vertical="center" wrapText="1" readingOrder="2"/>
    </xf>
    <xf numFmtId="0" fontId="46" fillId="25" borderId="22" xfId="0" applyFont="1" applyFill="1" applyBorder="1" applyAlignment="1">
      <alignment horizontal="center" vertical="center" wrapText="1" readingOrder="2"/>
    </xf>
    <xf numFmtId="0" fontId="46" fillId="25" borderId="18" xfId="0" applyFont="1" applyFill="1" applyBorder="1" applyAlignment="1">
      <alignment horizontal="center" vertical="center" wrapText="1" readingOrder="2"/>
    </xf>
    <xf numFmtId="0" fontId="46" fillId="25" borderId="21" xfId="0" applyFont="1" applyFill="1" applyBorder="1" applyAlignment="1">
      <alignment horizontal="center" vertical="center" wrapText="1" readingOrder="1"/>
    </xf>
    <xf numFmtId="0" fontId="46" fillId="25" borderId="22" xfId="0" applyFont="1" applyFill="1" applyBorder="1" applyAlignment="1">
      <alignment horizontal="center" vertical="center" wrapText="1" readingOrder="1"/>
    </xf>
    <xf numFmtId="0" fontId="0" fillId="25" borderId="22" xfId="0" applyFill="1" applyBorder="1" applyAlignment="1">
      <alignment horizontal="center" vertical="center" wrapText="1" readingOrder="1"/>
    </xf>
    <xf numFmtId="0" fontId="46" fillId="25" borderId="18" xfId="0" applyFont="1" applyFill="1" applyBorder="1" applyAlignment="1">
      <alignment horizontal="center" vertical="center" wrapText="1" readingOrder="1"/>
    </xf>
    <xf numFmtId="0" fontId="46" fillId="25" borderId="7" xfId="0" applyFont="1" applyFill="1" applyBorder="1" applyAlignment="1">
      <alignment horizontal="center" vertical="center" wrapText="1" readingOrder="2"/>
    </xf>
    <xf numFmtId="14" fontId="46" fillId="25" borderId="7" xfId="0" applyNumberFormat="1" applyFont="1" applyFill="1" applyBorder="1" applyAlignment="1">
      <alignment horizontal="center" vertical="center" wrapText="1" readingOrder="1"/>
    </xf>
    <xf numFmtId="14" fontId="46" fillId="25" borderId="7" xfId="0" applyNumberFormat="1" applyFont="1" applyFill="1" applyBorder="1" applyAlignment="1">
      <alignment horizontal="center" vertical="center" readingOrder="1"/>
    </xf>
    <xf numFmtId="0" fontId="45" fillId="0" borderId="7" xfId="0" applyFont="1" applyBorder="1" applyAlignment="1" applyProtection="1">
      <alignment horizontal="center" wrapText="1"/>
      <protection locked="0"/>
    </xf>
    <xf numFmtId="0" fontId="45" fillId="0" borderId="7" xfId="0" applyFont="1" applyBorder="1" applyAlignment="1" applyProtection="1">
      <alignment horizontal="center"/>
      <protection locked="0"/>
    </xf>
    <xf numFmtId="0" fontId="46" fillId="16" borderId="18" xfId="0" applyFont="1" applyFill="1" applyBorder="1" applyAlignment="1">
      <alignment horizontal="center" vertical="center" wrapText="1" readingOrder="2"/>
    </xf>
    <xf numFmtId="0" fontId="46" fillId="16" borderId="7" xfId="0" applyFont="1" applyFill="1" applyBorder="1" applyAlignment="1">
      <alignment horizontal="center" vertical="center" wrapText="1" readingOrder="2"/>
    </xf>
    <xf numFmtId="0" fontId="46" fillId="16" borderId="7" xfId="0" applyFont="1" applyFill="1" applyBorder="1" applyAlignment="1">
      <alignment horizontal="center" vertical="center" readingOrder="2"/>
    </xf>
    <xf numFmtId="0" fontId="46" fillId="16" borderId="50" xfId="0" applyFont="1" applyFill="1" applyBorder="1" applyAlignment="1">
      <alignment horizontal="center" vertical="center" wrapText="1" readingOrder="2"/>
    </xf>
    <xf numFmtId="0" fontId="46" fillId="16" borderId="9" xfId="0" applyFont="1" applyFill="1" applyBorder="1" applyAlignment="1">
      <alignment horizontal="center" vertical="center" wrapText="1" readingOrder="2"/>
    </xf>
    <xf numFmtId="14" fontId="46" fillId="16" borderId="0" xfId="0" applyNumberFormat="1" applyFont="1" applyFill="1" applyAlignment="1">
      <alignment horizontal="center" vertical="center" readingOrder="1"/>
    </xf>
    <xf numFmtId="0" fontId="46" fillId="16" borderId="0" xfId="0" applyFont="1" applyFill="1" applyAlignment="1">
      <alignment horizontal="center" vertical="center" readingOrder="1"/>
    </xf>
    <xf numFmtId="0" fontId="46" fillId="16" borderId="0" xfId="0" applyFont="1" applyFill="1" applyAlignment="1">
      <alignment horizontal="center" vertical="center" wrapText="1" readingOrder="1"/>
    </xf>
    <xf numFmtId="0" fontId="0" fillId="16" borderId="51" xfId="0" applyFill="1" applyBorder="1"/>
    <xf numFmtId="0" fontId="10" fillId="16" borderId="0" xfId="0" applyFont="1" applyFill="1" applyAlignment="1">
      <alignment horizontal="center" vertical="center"/>
    </xf>
    <xf numFmtId="0" fontId="10" fillId="16" borderId="0" xfId="0" applyFont="1" applyFill="1" applyAlignment="1">
      <alignment horizontal="center" vertical="center" wrapText="1"/>
    </xf>
    <xf numFmtId="14" fontId="7" fillId="16"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0" xfId="0" applyFont="1" applyFill="1" applyAlignment="1">
      <alignment horizontal="center" vertical="center" wrapText="1"/>
    </xf>
    <xf numFmtId="0" fontId="11" fillId="16" borderId="0" xfId="0" applyFont="1" applyFill="1" applyAlignment="1">
      <alignment horizontal="center" vertical="center" wrapText="1"/>
    </xf>
    <xf numFmtId="0" fontId="46" fillId="16" borderId="0" xfId="0" applyFont="1" applyFill="1" applyAlignment="1">
      <alignment horizontal="center" vertical="center" wrapText="1" readingOrder="2"/>
    </xf>
    <xf numFmtId="0" fontId="46" fillId="16" borderId="0" xfId="0" applyFont="1" applyFill="1" applyAlignment="1">
      <alignment horizontal="center" vertical="center" readingOrder="2"/>
    </xf>
    <xf numFmtId="0" fontId="10" fillId="16" borderId="8" xfId="0" applyFont="1" applyFill="1" applyBorder="1" applyAlignment="1">
      <alignment horizontal="center" vertical="center" readingOrder="2"/>
    </xf>
    <xf numFmtId="0" fontId="10" fillId="16" borderId="7" xfId="0" applyFont="1" applyFill="1" applyBorder="1" applyAlignment="1">
      <alignment horizontal="center" vertical="center" readingOrder="2"/>
    </xf>
    <xf numFmtId="0" fontId="10" fillId="16" borderId="9" xfId="0" applyFont="1" applyFill="1" applyBorder="1" applyAlignment="1">
      <alignment horizontal="center" vertical="center" wrapText="1" readingOrder="2"/>
    </xf>
    <xf numFmtId="14" fontId="46" fillId="16" borderId="8" xfId="0" applyNumberFormat="1" applyFont="1" applyFill="1" applyBorder="1" applyAlignment="1">
      <alignment horizontal="center" vertical="center" readingOrder="2"/>
    </xf>
    <xf numFmtId="14" fontId="46" fillId="16" borderId="49" xfId="0" applyNumberFormat="1" applyFont="1" applyFill="1" applyBorder="1" applyAlignment="1">
      <alignment horizontal="center" vertical="center" readingOrder="2"/>
    </xf>
    <xf numFmtId="0" fontId="46" fillId="16" borderId="18" xfId="0" applyFont="1" applyFill="1" applyBorder="1" applyAlignment="1">
      <alignment horizontal="center" vertical="center" readingOrder="2"/>
    </xf>
    <xf numFmtId="14" fontId="7" fillId="16" borderId="47" xfId="0" applyNumberFormat="1" applyFont="1" applyFill="1" applyBorder="1" applyAlignment="1">
      <alignment horizontal="center" vertical="center" readingOrder="2"/>
    </xf>
    <xf numFmtId="0" fontId="7" fillId="16" borderId="21" xfId="0" applyFont="1" applyFill="1" applyBorder="1" applyAlignment="1">
      <alignment horizontal="center" vertical="center" readingOrder="2"/>
    </xf>
    <xf numFmtId="0" fontId="7" fillId="16" borderId="21" xfId="0" applyFont="1" applyFill="1" applyBorder="1" applyAlignment="1">
      <alignment horizontal="center" vertical="center" wrapText="1" readingOrder="2"/>
    </xf>
    <xf numFmtId="0" fontId="7" fillId="16" borderId="48" xfId="0" applyFont="1" applyFill="1" applyBorder="1" applyAlignment="1">
      <alignment horizontal="center" vertical="center" wrapText="1" readingOrder="2"/>
    </xf>
    <xf numFmtId="14" fontId="7" fillId="16" borderId="8" xfId="0" applyNumberFormat="1" applyFont="1" applyFill="1" applyBorder="1" applyAlignment="1">
      <alignment horizontal="center" vertical="center" readingOrder="2"/>
    </xf>
    <xf numFmtId="0" fontId="7" fillId="16" borderId="7" xfId="0" applyFont="1" applyFill="1" applyBorder="1" applyAlignment="1">
      <alignment horizontal="center" vertical="center" readingOrder="2"/>
    </xf>
    <xf numFmtId="0" fontId="7" fillId="16" borderId="7" xfId="0" applyFont="1" applyFill="1" applyBorder="1" applyAlignment="1">
      <alignment horizontal="center" vertical="center" wrapText="1" readingOrder="2"/>
    </xf>
    <xf numFmtId="0" fontId="7" fillId="16" borderId="9" xfId="0" applyFont="1" applyFill="1" applyBorder="1" applyAlignment="1">
      <alignment horizontal="center" vertical="center" wrapText="1" readingOrder="2"/>
    </xf>
    <xf numFmtId="0" fontId="11" fillId="16" borderId="7" xfId="0" applyFont="1" applyFill="1" applyBorder="1" applyAlignment="1">
      <alignment horizontal="center" vertical="center" wrapText="1" readingOrder="2"/>
    </xf>
    <xf numFmtId="0" fontId="11" fillId="16" borderId="9" xfId="0" applyFont="1" applyFill="1" applyBorder="1" applyAlignment="1">
      <alignment horizontal="center" vertical="center" wrapText="1" readingOrder="2"/>
    </xf>
    <xf numFmtId="14" fontId="46" fillId="16" borderId="47" xfId="0" applyNumberFormat="1" applyFont="1" applyFill="1" applyBorder="1" applyAlignment="1">
      <alignment horizontal="center" vertical="center" readingOrder="2"/>
    </xf>
    <xf numFmtId="0" fontId="46" fillId="16" borderId="21" xfId="0" applyFont="1" applyFill="1" applyBorder="1" applyAlignment="1">
      <alignment horizontal="center" vertical="center" readingOrder="2"/>
    </xf>
    <xf numFmtId="0" fontId="46" fillId="16" borderId="48" xfId="0" applyFont="1" applyFill="1" applyBorder="1" applyAlignment="1">
      <alignment horizontal="center" vertical="center" wrapText="1" readingOrder="2"/>
    </xf>
    <xf numFmtId="0" fontId="46" fillId="16" borderId="43" xfId="0" applyFont="1" applyFill="1" applyBorder="1" applyAlignment="1">
      <alignment horizontal="center" vertical="center" readingOrder="2"/>
    </xf>
    <xf numFmtId="14" fontId="46" fillId="16" borderId="42" xfId="0" applyNumberFormat="1" applyFont="1" applyFill="1" applyBorder="1" applyAlignment="1">
      <alignment horizontal="center" vertical="center" readingOrder="2"/>
    </xf>
    <xf numFmtId="0" fontId="35" fillId="3" borderId="0" xfId="0" applyFont="1" applyFill="1" applyAlignment="1">
      <alignment vertical="top" wrapText="1"/>
    </xf>
    <xf numFmtId="0" fontId="33" fillId="3" borderId="0" xfId="0" applyFont="1" applyFill="1" applyAlignment="1">
      <alignment vertical="top"/>
    </xf>
    <xf numFmtId="0" fontId="35" fillId="3" borderId="0" xfId="0" applyFont="1" applyFill="1" applyAlignment="1">
      <alignment vertical="top"/>
    </xf>
    <xf numFmtId="0" fontId="0" fillId="3" borderId="0" xfId="0" applyFill="1" applyAlignment="1">
      <alignment vertical="top"/>
    </xf>
    <xf numFmtId="0" fontId="34" fillId="3" borderId="0" xfId="0" applyFont="1" applyFill="1" applyAlignment="1">
      <alignment vertical="top"/>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center" vertical="center" wrapText="1"/>
    </xf>
    <xf numFmtId="0" fontId="10" fillId="16" borderId="21" xfId="0" applyFont="1" applyFill="1" applyBorder="1" applyAlignment="1">
      <alignment horizontal="center" vertical="center" readingOrder="2"/>
    </xf>
    <xf numFmtId="0" fontId="10" fillId="16" borderId="48" xfId="0" applyFont="1" applyFill="1" applyBorder="1" applyAlignment="1">
      <alignment horizontal="center" vertical="center" wrapText="1" readingOrder="2"/>
    </xf>
    <xf numFmtId="14" fontId="10" fillId="16" borderId="47" xfId="0" applyNumberFormat="1" applyFont="1" applyFill="1" applyBorder="1" applyAlignment="1">
      <alignment horizontal="center" vertical="center" readingOrder="2"/>
    </xf>
    <xf numFmtId="14" fontId="46" fillId="25" borderId="7" xfId="0" applyNumberFormat="1" applyFont="1" applyFill="1" applyBorder="1" applyAlignment="1">
      <alignment horizontal="center" vertical="center" wrapText="1" readingOrder="2"/>
    </xf>
    <xf numFmtId="0" fontId="0" fillId="21" borderId="45" xfId="0" applyFill="1" applyBorder="1" applyAlignment="1">
      <alignment horizontal="center"/>
    </xf>
    <xf numFmtId="0" fontId="6" fillId="3" borderId="0" xfId="1" applyFont="1" applyFill="1" applyBorder="1" applyAlignment="1">
      <alignment horizontal="right" wrapText="1" readingOrder="2"/>
    </xf>
    <xf numFmtId="0" fontId="6" fillId="3" borderId="52" xfId="1" applyFont="1" applyFill="1" applyBorder="1" applyAlignment="1"/>
    <xf numFmtId="0" fontId="6" fillId="2" borderId="52" xfId="1" applyFont="1" applyBorder="1" applyAlignment="1"/>
    <xf numFmtId="0" fontId="5" fillId="3" borderId="52" xfId="0" applyFont="1" applyFill="1" applyBorder="1"/>
    <xf numFmtId="0" fontId="5" fillId="20" borderId="52" xfId="0" applyFont="1" applyFill="1" applyBorder="1"/>
    <xf numFmtId="0" fontId="6" fillId="3" borderId="52" xfId="1" applyFont="1" applyFill="1" applyBorder="1" applyAlignment="1">
      <alignment horizontal="right" vertical="top"/>
    </xf>
    <xf numFmtId="0" fontId="6" fillId="20" borderId="52" xfId="1" applyFont="1" applyFill="1" applyBorder="1" applyAlignment="1">
      <alignment horizontal="right" vertical="top"/>
    </xf>
    <xf numFmtId="0" fontId="6" fillId="3" borderId="53" xfId="1" applyFont="1" applyFill="1" applyBorder="1" applyAlignment="1"/>
    <xf numFmtId="0" fontId="6" fillId="2" borderId="53" xfId="1" applyFont="1" applyBorder="1" applyAlignment="1"/>
    <xf numFmtId="0" fontId="6" fillId="3" borderId="53" xfId="0" applyFont="1" applyFill="1" applyBorder="1" applyAlignment="1">
      <alignment horizontal="right" vertical="top"/>
    </xf>
    <xf numFmtId="0" fontId="6" fillId="2" borderId="43" xfId="1" applyFont="1" applyBorder="1" applyAlignment="1">
      <alignment readingOrder="2"/>
    </xf>
    <xf numFmtId="0" fontId="6" fillId="3" borderId="43" xfId="1" applyFont="1" applyFill="1" applyBorder="1" applyAlignment="1"/>
    <xf numFmtId="0" fontId="6" fillId="2" borderId="43" xfId="1" applyFont="1" applyBorder="1" applyAlignment="1"/>
    <xf numFmtId="0" fontId="6" fillId="2" borderId="46" xfId="1" applyFont="1" applyBorder="1" applyAlignment="1"/>
    <xf numFmtId="0" fontId="5" fillId="3" borderId="46" xfId="0" applyFont="1" applyFill="1" applyBorder="1"/>
    <xf numFmtId="0" fontId="5" fillId="20" borderId="46" xfId="0" applyFont="1" applyFill="1" applyBorder="1"/>
    <xf numFmtId="0" fontId="5" fillId="20" borderId="43" xfId="0" applyFont="1" applyFill="1" applyBorder="1"/>
    <xf numFmtId="0" fontId="6" fillId="20" borderId="43" xfId="1" applyFont="1" applyFill="1" applyBorder="1" applyAlignment="1">
      <alignment horizontal="right" vertical="top" wrapText="1"/>
    </xf>
    <xf numFmtId="0" fontId="6" fillId="3" borderId="54" xfId="1" applyFont="1" applyFill="1" applyBorder="1" applyAlignment="1">
      <alignment wrapText="1"/>
    </xf>
    <xf numFmtId="0" fontId="6" fillId="3" borderId="43" xfId="1" applyFont="1" applyFill="1" applyBorder="1" applyAlignment="1">
      <alignment wrapText="1"/>
    </xf>
    <xf numFmtId="0" fontId="6" fillId="2" borderId="43" xfId="1" applyFont="1" applyBorder="1" applyAlignment="1">
      <alignment wrapText="1"/>
    </xf>
    <xf numFmtId="0" fontId="6" fillId="3" borderId="43" xfId="1" applyFont="1" applyFill="1" applyBorder="1" applyAlignment="1">
      <alignment horizontal="right" wrapText="1"/>
    </xf>
    <xf numFmtId="0" fontId="6" fillId="3" borderId="46" xfId="1" applyFont="1" applyFill="1" applyBorder="1" applyAlignment="1"/>
    <xf numFmtId="0" fontId="6" fillId="3" borderId="46" xfId="0" applyFont="1" applyFill="1" applyBorder="1" applyAlignment="1">
      <alignment horizontal="right" vertical="top"/>
    </xf>
    <xf numFmtId="0" fontId="6" fillId="20" borderId="43" xfId="1" applyFont="1" applyFill="1" applyBorder="1" applyAlignment="1">
      <alignment horizontal="right" vertical="top"/>
    </xf>
    <xf numFmtId="0" fontId="6" fillId="2" borderId="44" xfId="1" applyFont="1" applyBorder="1" applyAlignment="1"/>
    <xf numFmtId="0" fontId="5" fillId="20" borderId="44" xfId="0" applyFont="1" applyFill="1" applyBorder="1"/>
    <xf numFmtId="0" fontId="47" fillId="17" borderId="0" xfId="0" applyFont="1" applyFill="1" applyAlignment="1">
      <alignment horizontal="center" vertical="center" wrapText="1"/>
    </xf>
    <xf numFmtId="0" fontId="47" fillId="17" borderId="0" xfId="0" applyFont="1" applyFill="1" applyAlignment="1">
      <alignment horizontal="center" vertical="center"/>
    </xf>
    <xf numFmtId="0" fontId="48" fillId="17" borderId="0" xfId="0" applyFont="1" applyFill="1" applyAlignment="1">
      <alignment horizontal="center" vertical="center" wrapText="1"/>
    </xf>
    <xf numFmtId="0" fontId="49" fillId="3" borderId="0" xfId="0" applyFont="1" applyFill="1" applyAlignment="1">
      <alignment vertical="center" wrapText="1"/>
    </xf>
    <xf numFmtId="0" fontId="50" fillId="3" borderId="0" xfId="1" applyFont="1" applyFill="1" applyBorder="1" applyAlignment="1">
      <alignment wrapText="1"/>
    </xf>
    <xf numFmtId="0" fontId="50" fillId="3" borderId="0" xfId="1" applyFont="1" applyFill="1" applyBorder="1" applyAlignment="1">
      <alignment vertical="top" wrapText="1"/>
    </xf>
    <xf numFmtId="0" fontId="6" fillId="2" borderId="42" xfId="1" applyFont="1" applyBorder="1" applyAlignment="1">
      <alignment wrapText="1"/>
    </xf>
    <xf numFmtId="0" fontId="6" fillId="3" borderId="52" xfId="1" applyFont="1" applyFill="1" applyBorder="1" applyAlignment="1">
      <alignment wrapText="1"/>
    </xf>
    <xf numFmtId="14" fontId="46" fillId="25" borderId="18" xfId="0" applyNumberFormat="1" applyFont="1" applyFill="1" applyBorder="1" applyAlignment="1">
      <alignment horizontal="center" vertical="center" wrapText="1" readingOrder="2"/>
    </xf>
    <xf numFmtId="0" fontId="28" fillId="10" borderId="55" xfId="0" applyFont="1" applyFill="1" applyBorder="1" applyAlignment="1">
      <alignment horizontal="center" vertical="center" wrapText="1" readingOrder="2"/>
    </xf>
    <xf numFmtId="0" fontId="28" fillId="10" borderId="56" xfId="0" applyFont="1" applyFill="1" applyBorder="1" applyAlignment="1">
      <alignment horizontal="center" vertical="center" wrapText="1" readingOrder="2"/>
    </xf>
    <xf numFmtId="0" fontId="28" fillId="10" borderId="57" xfId="0" applyFont="1" applyFill="1" applyBorder="1" applyAlignment="1">
      <alignment horizontal="center" vertical="center" wrapText="1" readingOrder="2"/>
    </xf>
    <xf numFmtId="0" fontId="36" fillId="2" borderId="0" xfId="1" applyFont="1" applyBorder="1" applyAlignment="1">
      <alignment horizontal="center" readingOrder="2"/>
    </xf>
    <xf numFmtId="0" fontId="52" fillId="2" borderId="52" xfId="1" applyFont="1" applyBorder="1" applyAlignment="1">
      <alignment vertical="top" wrapText="1"/>
    </xf>
    <xf numFmtId="14" fontId="0" fillId="0" borderId="0" xfId="0" applyNumberFormat="1" applyAlignment="1">
      <alignment wrapText="1"/>
    </xf>
    <xf numFmtId="0" fontId="53" fillId="2" borderId="52" xfId="1" applyFont="1" applyBorder="1" applyAlignment="1">
      <alignment wrapText="1" readingOrder="2"/>
    </xf>
    <xf numFmtId="0" fontId="54" fillId="2" borderId="52" xfId="1" applyFont="1" applyBorder="1" applyAlignment="1">
      <alignment horizontal="left" vertical="center" wrapText="1" readingOrder="2"/>
    </xf>
    <xf numFmtId="0" fontId="54" fillId="2" borderId="43" xfId="1" applyFont="1" applyBorder="1" applyAlignment="1">
      <alignment horizontal="center" vertical="center" wrapText="1" readingOrder="2"/>
    </xf>
    <xf numFmtId="0" fontId="54" fillId="3" borderId="43" xfId="1" applyFont="1" applyFill="1" applyBorder="1" applyAlignment="1">
      <alignment horizontal="center" wrapText="1" readingOrder="2"/>
    </xf>
    <xf numFmtId="0" fontId="54" fillId="3" borderId="52" xfId="1" applyFont="1" applyFill="1" applyBorder="1" applyAlignment="1">
      <alignment vertical="center" wrapText="1" readingOrder="2"/>
    </xf>
    <xf numFmtId="0" fontId="54" fillId="3" borderId="43" xfId="1" applyFont="1" applyFill="1" applyBorder="1" applyAlignment="1">
      <alignment horizontal="center" vertical="center" wrapText="1" readingOrder="2"/>
    </xf>
    <xf numFmtId="165" fontId="45" fillId="21" borderId="22" xfId="0" applyNumberFormat="1" applyFont="1" applyFill="1" applyBorder="1" applyAlignment="1" applyProtection="1">
      <alignment readingOrder="2"/>
      <protection locked="0" hidden="1"/>
    </xf>
    <xf numFmtId="0" fontId="55" fillId="2" borderId="43" xfId="1" applyFont="1" applyBorder="1" applyAlignment="1">
      <alignment horizontal="center" vertical="center" wrapText="1" readingOrder="2"/>
    </xf>
    <xf numFmtId="165" fontId="45" fillId="21" borderId="22" xfId="0" applyNumberFormat="1" applyFont="1" applyFill="1" applyBorder="1" applyAlignment="1" applyProtection="1">
      <alignment wrapText="1"/>
      <protection locked="0" hidden="1"/>
    </xf>
    <xf numFmtId="0" fontId="54" fillId="2" borderId="52" xfId="1" applyFont="1" applyBorder="1" applyAlignment="1">
      <alignment horizontal="right" vertical="center" wrapText="1" readingOrder="2"/>
    </xf>
    <xf numFmtId="0" fontId="54" fillId="3" borderId="52" xfId="1" applyFont="1" applyFill="1" applyBorder="1" applyAlignment="1">
      <alignment horizontal="right" wrapText="1" readingOrder="2"/>
    </xf>
    <xf numFmtId="0" fontId="36" fillId="18" borderId="0" xfId="1" applyFont="1" applyFill="1" applyBorder="1" applyAlignment="1">
      <alignment horizontal="center" readingOrder="2"/>
    </xf>
    <xf numFmtId="0" fontId="36" fillId="3" borderId="0" xfId="1" applyFont="1" applyFill="1" applyBorder="1" applyAlignment="1">
      <alignment horizontal="center" readingOrder="2"/>
    </xf>
    <xf numFmtId="0" fontId="5" fillId="3" borderId="0" xfId="0" applyFont="1" applyFill="1" applyAlignment="1">
      <alignment horizontal="center" vertical="top"/>
    </xf>
    <xf numFmtId="0" fontId="5" fillId="3" borderId="24" xfId="0" applyFont="1" applyFill="1" applyBorder="1" applyAlignment="1">
      <alignment horizontal="center"/>
    </xf>
    <xf numFmtId="0" fontId="5" fillId="3" borderId="0" xfId="0" applyFont="1" applyFill="1" applyAlignment="1">
      <alignment horizontal="center"/>
    </xf>
    <xf numFmtId="0" fontId="40" fillId="19" borderId="27" xfId="0" applyFont="1" applyFill="1" applyBorder="1" applyAlignment="1">
      <alignment horizontal="center" vertical="center"/>
    </xf>
    <xf numFmtId="0" fontId="40" fillId="19" borderId="28" xfId="0" applyFont="1" applyFill="1" applyBorder="1" applyAlignment="1">
      <alignment horizontal="center" vertical="center"/>
    </xf>
    <xf numFmtId="0" fontId="40" fillId="19" borderId="29" xfId="0" applyFont="1" applyFill="1" applyBorder="1" applyAlignment="1">
      <alignment horizontal="center" vertical="center"/>
    </xf>
    <xf numFmtId="14" fontId="39" fillId="19" borderId="28" xfId="0" applyNumberFormat="1" applyFont="1" applyFill="1" applyBorder="1" applyAlignment="1">
      <alignment horizontal="center" vertical="center"/>
    </xf>
    <xf numFmtId="0" fontId="39" fillId="19" borderId="30" xfId="0" applyFont="1" applyFill="1" applyBorder="1" applyAlignment="1">
      <alignment horizontal="center" vertical="center"/>
    </xf>
    <xf numFmtId="14" fontId="40" fillId="19" borderId="38" xfId="0" applyNumberFormat="1" applyFont="1" applyFill="1" applyBorder="1" applyAlignment="1">
      <alignment horizontal="center" vertical="center"/>
    </xf>
    <xf numFmtId="14" fontId="40" fillId="19" borderId="39" xfId="0" applyNumberFormat="1" applyFont="1" applyFill="1" applyBorder="1" applyAlignment="1">
      <alignment horizontal="center" vertical="center"/>
    </xf>
    <xf numFmtId="14" fontId="40" fillId="19" borderId="40" xfId="0" applyNumberFormat="1" applyFont="1" applyFill="1" applyBorder="1" applyAlignment="1">
      <alignment horizontal="center" vertical="center"/>
    </xf>
    <xf numFmtId="0" fontId="40" fillId="19" borderId="26" xfId="0" applyFont="1" applyFill="1" applyBorder="1" applyAlignment="1">
      <alignment horizontal="center" vertical="center"/>
    </xf>
    <xf numFmtId="0" fontId="40" fillId="19" borderId="31" xfId="0" applyFont="1" applyFill="1" applyBorder="1" applyAlignment="1">
      <alignment horizontal="center" vertical="center"/>
    </xf>
    <xf numFmtId="0" fontId="40" fillId="19" borderId="0" xfId="0" applyFont="1" applyFill="1" applyAlignment="1">
      <alignment horizontal="center" vertical="center"/>
    </xf>
    <xf numFmtId="0" fontId="40" fillId="19" borderId="32" xfId="0" applyFont="1" applyFill="1" applyBorder="1" applyAlignment="1">
      <alignment horizontal="center" vertical="center"/>
    </xf>
    <xf numFmtId="0" fontId="40" fillId="19" borderId="3" xfId="0" applyFont="1" applyFill="1" applyBorder="1" applyAlignment="1">
      <alignment horizontal="center" vertical="center"/>
    </xf>
    <xf numFmtId="0" fontId="40" fillId="19" borderId="33" xfId="0" applyFont="1" applyFill="1" applyBorder="1" applyAlignment="1">
      <alignment horizontal="center" vertical="center"/>
    </xf>
    <xf numFmtId="0" fontId="38" fillId="19" borderId="4" xfId="0" applyFont="1" applyFill="1" applyBorder="1" applyAlignment="1">
      <alignment horizontal="center" vertical="center"/>
    </xf>
    <xf numFmtId="0" fontId="38" fillId="19" borderId="34" xfId="0" applyFont="1" applyFill="1" applyBorder="1" applyAlignment="1">
      <alignment horizontal="center" vertical="center"/>
    </xf>
    <xf numFmtId="0" fontId="38" fillId="19" borderId="25" xfId="0" applyFont="1" applyFill="1" applyBorder="1" applyAlignment="1">
      <alignment horizontal="center" vertical="center"/>
    </xf>
    <xf numFmtId="0" fontId="38" fillId="19" borderId="35" xfId="0" applyFont="1" applyFill="1" applyBorder="1" applyAlignment="1">
      <alignment horizontal="center" vertical="center"/>
    </xf>
    <xf numFmtId="0" fontId="38" fillId="19" borderId="37" xfId="0" applyFont="1" applyFill="1" applyBorder="1" applyAlignment="1">
      <alignment horizontal="center" vertical="top"/>
    </xf>
    <xf numFmtId="0" fontId="38" fillId="19" borderId="36" xfId="0" applyFont="1" applyFill="1" applyBorder="1" applyAlignment="1">
      <alignment horizontal="center" vertical="top"/>
    </xf>
    <xf numFmtId="14" fontId="46" fillId="16" borderId="43" xfId="0" applyNumberFormat="1" applyFont="1" applyFill="1" applyBorder="1" applyAlignment="1">
      <alignment horizontal="center" vertical="center" readingOrder="2"/>
    </xf>
    <xf numFmtId="0" fontId="46" fillId="16" borderId="7" xfId="0" applyFont="1" applyFill="1" applyBorder="1" applyAlignment="1">
      <alignment horizontal="center" vertical="center" readingOrder="2"/>
    </xf>
    <xf numFmtId="0" fontId="46" fillId="16" borderId="7" xfId="0" applyFont="1" applyFill="1" applyBorder="1" applyAlignment="1">
      <alignment horizontal="center" vertical="center" wrapText="1" readingOrder="2"/>
    </xf>
    <xf numFmtId="0" fontId="46" fillId="16" borderId="9" xfId="0" applyFont="1" applyFill="1" applyBorder="1" applyAlignment="1">
      <alignment horizontal="center" vertical="center" wrapText="1" readingOrder="2"/>
    </xf>
    <xf numFmtId="0" fontId="27" fillId="6" borderId="5" xfId="0" applyFont="1" applyFill="1" applyBorder="1" applyAlignment="1">
      <alignment horizontal="center" vertical="center" readingOrder="2"/>
    </xf>
    <xf numFmtId="0" fontId="27" fillId="6" borderId="15" xfId="0" applyFont="1" applyFill="1" applyBorder="1" applyAlignment="1">
      <alignment horizontal="center" vertical="center" readingOrder="2"/>
    </xf>
    <xf numFmtId="0" fontId="27" fillId="6" borderId="6" xfId="0" applyFont="1" applyFill="1" applyBorder="1" applyAlignment="1">
      <alignment horizontal="center" vertical="center" readingOrder="2"/>
    </xf>
    <xf numFmtId="14" fontId="46" fillId="16" borderId="49" xfId="0" applyNumberFormat="1" applyFont="1" applyFill="1" applyBorder="1" applyAlignment="1">
      <alignment horizontal="center" vertical="center" readingOrder="2"/>
    </xf>
    <xf numFmtId="14" fontId="46" fillId="16" borderId="8" xfId="0" applyNumberFormat="1" applyFont="1" applyFill="1" applyBorder="1" applyAlignment="1">
      <alignment horizontal="center" vertical="center" readingOrder="2"/>
    </xf>
    <xf numFmtId="0" fontId="46" fillId="16" borderId="18" xfId="0" applyFont="1" applyFill="1" applyBorder="1" applyAlignment="1">
      <alignment horizontal="center" vertical="center" readingOrder="2"/>
    </xf>
    <xf numFmtId="0" fontId="46" fillId="16" borderId="18" xfId="0" applyFont="1" applyFill="1" applyBorder="1" applyAlignment="1">
      <alignment horizontal="center" vertical="center" wrapText="1" readingOrder="2"/>
    </xf>
    <xf numFmtId="0" fontId="46" fillId="16" borderId="50" xfId="0" applyFont="1" applyFill="1" applyBorder="1" applyAlignment="1">
      <alignment horizontal="center" vertical="center" wrapText="1" readingOrder="2"/>
    </xf>
    <xf numFmtId="0" fontId="27" fillId="16" borderId="0" xfId="0" applyFont="1" applyFill="1" applyAlignment="1">
      <alignment horizontal="center" vertical="center"/>
    </xf>
    <xf numFmtId="14" fontId="46" fillId="16" borderId="0" xfId="0" applyNumberFormat="1" applyFont="1" applyFill="1" applyAlignment="1">
      <alignment horizontal="center" vertical="center" readingOrder="1"/>
    </xf>
    <xf numFmtId="0" fontId="46" fillId="16" borderId="0" xfId="0" applyFont="1" applyFill="1" applyAlignment="1">
      <alignment horizontal="center" vertical="center" readingOrder="1"/>
    </xf>
    <xf numFmtId="0" fontId="46" fillId="16" borderId="0" xfId="0" applyFont="1" applyFill="1" applyAlignment="1">
      <alignment horizontal="center" vertical="center" wrapText="1" readingOrder="1"/>
    </xf>
    <xf numFmtId="0" fontId="46" fillId="16" borderId="0" xfId="0" applyFont="1" applyFill="1" applyAlignment="1">
      <alignment horizontal="center" vertical="center" wrapText="1" readingOrder="2"/>
    </xf>
    <xf numFmtId="14" fontId="46" fillId="25" borderId="21" xfId="0" applyNumberFormat="1" applyFont="1" applyFill="1" applyBorder="1" applyAlignment="1">
      <alignment horizontal="center" vertical="center" readingOrder="1"/>
    </xf>
    <xf numFmtId="14" fontId="46" fillId="25" borderId="22" xfId="0" applyNumberFormat="1" applyFont="1" applyFill="1" applyBorder="1" applyAlignment="1">
      <alignment horizontal="center" vertical="center" readingOrder="1"/>
    </xf>
    <xf numFmtId="14" fontId="46" fillId="25" borderId="18" xfId="0" applyNumberFormat="1" applyFont="1" applyFill="1" applyBorder="1" applyAlignment="1">
      <alignment horizontal="center" vertical="center" readingOrder="1"/>
    </xf>
    <xf numFmtId="0" fontId="46" fillId="25" borderId="21" xfId="0" applyFont="1" applyFill="1" applyBorder="1" applyAlignment="1">
      <alignment horizontal="center" vertical="center" readingOrder="1"/>
    </xf>
    <xf numFmtId="0" fontId="46" fillId="25" borderId="22" xfId="0" applyFont="1" applyFill="1" applyBorder="1" applyAlignment="1">
      <alignment horizontal="center" vertical="center" readingOrder="1"/>
    </xf>
    <xf numFmtId="0" fontId="46" fillId="25" borderId="18" xfId="0" applyFont="1" applyFill="1" applyBorder="1" applyAlignment="1">
      <alignment horizontal="center" vertical="center" readingOrder="1"/>
    </xf>
    <xf numFmtId="0" fontId="46" fillId="25" borderId="21" xfId="0" applyFont="1" applyFill="1" applyBorder="1" applyAlignment="1">
      <alignment horizontal="center" vertical="center" wrapText="1" readingOrder="1"/>
    </xf>
    <xf numFmtId="0" fontId="46" fillId="25" borderId="22" xfId="0" applyFont="1" applyFill="1" applyBorder="1" applyAlignment="1">
      <alignment horizontal="center" vertical="center" wrapText="1" readingOrder="1"/>
    </xf>
    <xf numFmtId="0" fontId="46" fillId="25" borderId="18" xfId="0" applyFont="1" applyFill="1" applyBorder="1" applyAlignment="1">
      <alignment horizontal="center" vertical="center" wrapText="1" readingOrder="1"/>
    </xf>
    <xf numFmtId="14" fontId="46" fillId="25" borderId="21" xfId="0" applyNumberFormat="1" applyFont="1" applyFill="1" applyBorder="1" applyAlignment="1">
      <alignment horizontal="center" vertical="center" wrapText="1" readingOrder="1"/>
    </xf>
    <xf numFmtId="14" fontId="46" fillId="25" borderId="22" xfId="0" applyNumberFormat="1" applyFont="1" applyFill="1" applyBorder="1" applyAlignment="1">
      <alignment horizontal="center" vertical="center" wrapText="1" readingOrder="1"/>
    </xf>
    <xf numFmtId="14" fontId="46" fillId="25" borderId="18" xfId="0" applyNumberFormat="1" applyFont="1" applyFill="1" applyBorder="1" applyAlignment="1">
      <alignment horizontal="center" vertical="center" wrapText="1" readingOrder="1"/>
    </xf>
    <xf numFmtId="0" fontId="26" fillId="15" borderId="12" xfId="0" applyFont="1" applyFill="1" applyBorder="1" applyAlignment="1">
      <alignment horizontal="center" vertical="center"/>
    </xf>
    <xf numFmtId="0" fontId="26" fillId="15" borderId="13" xfId="0" applyFont="1" applyFill="1" applyBorder="1" applyAlignment="1">
      <alignment horizontal="center" vertical="center"/>
    </xf>
    <xf numFmtId="0" fontId="26" fillId="15" borderId="14" xfId="0" applyFont="1" applyFill="1" applyBorder="1" applyAlignment="1">
      <alignment horizontal="center" vertical="center"/>
    </xf>
    <xf numFmtId="0" fontId="29" fillId="15" borderId="19" xfId="0" applyFont="1" applyFill="1" applyBorder="1" applyAlignment="1">
      <alignment horizontal="center" vertical="center" wrapText="1"/>
    </xf>
    <xf numFmtId="0" fontId="29" fillId="15" borderId="20" xfId="0" applyFont="1" applyFill="1" applyBorder="1" applyAlignment="1">
      <alignment horizontal="center" vertical="center" wrapText="1"/>
    </xf>
    <xf numFmtId="0" fontId="0" fillId="21" borderId="0" xfId="0" applyFill="1" applyAlignment="1" applyProtection="1">
      <alignment horizontal="center"/>
      <protection locked="0"/>
    </xf>
    <xf numFmtId="0" fontId="0" fillId="0" borderId="0" xfId="0" applyProtection="1">
      <protection locked="0"/>
    </xf>
    <xf numFmtId="0" fontId="0" fillId="0" borderId="41" xfId="0" applyBorder="1" applyAlignment="1">
      <alignment horizontal="center"/>
    </xf>
    <xf numFmtId="0" fontId="0" fillId="0" borderId="41" xfId="0" applyBorder="1"/>
    <xf numFmtId="0" fontId="42" fillId="22" borderId="7" xfId="0" applyFont="1" applyFill="1" applyBorder="1" applyAlignment="1" applyProtection="1">
      <alignment horizontal="center" vertical="center"/>
      <protection locked="0"/>
    </xf>
    <xf numFmtId="0" fontId="0" fillId="0" borderId="42" xfId="0" applyBorder="1" applyProtection="1">
      <protection locked="0"/>
    </xf>
    <xf numFmtId="0" fontId="0" fillId="0" borderId="43" xfId="0" applyBorder="1" applyProtection="1">
      <protection locked="0"/>
    </xf>
    <xf numFmtId="0" fontId="43" fillId="0" borderId="0" xfId="0" applyFont="1" applyAlignment="1" applyProtection="1">
      <alignment horizontal="center" vertical="center"/>
      <protection locked="0" hidden="1"/>
    </xf>
    <xf numFmtId="0" fontId="0" fillId="0" borderId="0" xfId="0" applyProtection="1">
      <protection locked="0" hidden="1"/>
    </xf>
    <xf numFmtId="0" fontId="43" fillId="0" borderId="0" xfId="0" applyFont="1" applyAlignment="1" applyProtection="1">
      <alignment horizontal="center"/>
      <protection locked="0"/>
    </xf>
    <xf numFmtId="0" fontId="0" fillId="21" borderId="41" xfId="0" applyFill="1" applyBorder="1" applyAlignment="1">
      <alignment horizontal="center"/>
    </xf>
    <xf numFmtId="0" fontId="0" fillId="0" borderId="7" xfId="0" applyBorder="1" applyAlignment="1" applyProtection="1">
      <alignment horizontal="center" vertical="center"/>
      <protection locked="0"/>
    </xf>
    <xf numFmtId="0" fontId="0" fillId="0" borderId="43" xfId="0" applyBorder="1" applyAlignment="1" applyProtection="1">
      <alignment vertical="center"/>
      <protection locked="0"/>
    </xf>
    <xf numFmtId="0" fontId="0" fillId="0" borderId="0" xfId="0" applyAlignment="1">
      <alignment horizontal="center"/>
    </xf>
    <xf numFmtId="0" fontId="0" fillId="0" borderId="0" xfId="0"/>
    <xf numFmtId="0" fontId="0" fillId="21" borderId="0" xfId="0" applyFill="1"/>
  </cellXfs>
  <cellStyles count="27">
    <cellStyle name="Accent1" xfId="3" builtinId="29"/>
    <cellStyle name="Accent1 2" xfId="6" xr:uid="{07D3B503-4DD9-4E7E-BEF8-26E6E769C171}"/>
    <cellStyle name="Bad 2" xfId="2" xr:uid="{1AAE5BA4-28CE-4393-AD03-CE22751C9BFE}"/>
    <cellStyle name="Check Cell 2" xfId="5" xr:uid="{DFE97F87-F153-4751-A80E-CDAF0B08EB76}"/>
    <cellStyle name="Normal" xfId="0" builtinId="0"/>
    <cellStyle name="Normal 10" xfId="14" xr:uid="{05B47673-4404-4D47-897C-DDC55D45E67C}"/>
    <cellStyle name="Normal 10 2" xfId="24" xr:uid="{80A672BB-0774-41C1-A837-0AF0F5C6C86F}"/>
    <cellStyle name="Normal 11" xfId="15" xr:uid="{FE96DBD0-50D8-4727-B7AB-661357AFE5F7}"/>
    <cellStyle name="Normal 11 2" xfId="25" xr:uid="{18F98A37-9345-40C0-9D54-08DEA2C4553A}"/>
    <cellStyle name="Normal 12" xfId="16" xr:uid="{2D1B84A5-8907-48B1-BA67-BE54D8B81E4F}"/>
    <cellStyle name="Normal 12 2" xfId="26" xr:uid="{19C48BF0-4A8C-4C51-B252-57598B12E093}"/>
    <cellStyle name="Normal 2" xfId="4" xr:uid="{FEBCE6B1-ACA8-4355-BE61-1155A68C1518}"/>
    <cellStyle name="Normal 3" xfId="7" xr:uid="{4B21061E-1E7B-4CFD-8409-4669966EE04C}"/>
    <cellStyle name="Normal 3 2" xfId="17" xr:uid="{8B34E5A9-B5AE-4737-9AE4-27369698A75B}"/>
    <cellStyle name="Normal 4" xfId="8" xr:uid="{4BEF75C3-1B44-404E-97EB-04440940A811}"/>
    <cellStyle name="Normal 4 2" xfId="18" xr:uid="{1F7479BB-A668-4838-BA65-258C921B3016}"/>
    <cellStyle name="Normal 5" xfId="9" xr:uid="{ACBD0544-C521-475D-9D79-25C690B702E6}"/>
    <cellStyle name="Normal 5 2" xfId="19" xr:uid="{1A9B5CDA-5FE6-425F-8588-6091CBE3065D}"/>
    <cellStyle name="Normal 6" xfId="10" xr:uid="{C8A11E59-296B-432E-B1F5-78C96A98710F}"/>
    <cellStyle name="Normal 6 2" xfId="20" xr:uid="{F0A4E655-8A1E-4147-B27A-D08892FA8D4C}"/>
    <cellStyle name="Normal 7" xfId="11" xr:uid="{79BDF6FC-2996-4956-A2D6-6C86131ED0F6}"/>
    <cellStyle name="Normal 7 2" xfId="21" xr:uid="{1787A586-DC22-405F-ACE0-0F1E524AC2D9}"/>
    <cellStyle name="Normal 8" xfId="12" xr:uid="{B8F26F84-68EA-4082-B922-8FD4D93DBC50}"/>
    <cellStyle name="Normal 8 2" xfId="22" xr:uid="{97659F78-FADA-4014-BA22-FF0AF1513755}"/>
    <cellStyle name="Normal 9" xfId="13" xr:uid="{AD17782C-1B56-416C-B388-129C81E400F0}"/>
    <cellStyle name="Normal 9 2" xfId="23" xr:uid="{A3CB9002-8DF7-4F40-B8B1-2E0DA47EA536}"/>
    <cellStyle name="Output" xfId="1" builtinId="21"/>
  </cellStyles>
  <dxfs count="14">
    <dxf>
      <font>
        <strike val="0"/>
        <outline val="0"/>
        <shadow val="0"/>
        <vertAlign val="baseline"/>
        <sz val="8"/>
        <color theme="1"/>
        <name val="Calibri"/>
        <family val="2"/>
        <scheme val="minor"/>
      </font>
      <alignment horizontal="center" vertical="center" textRotation="0" wrapText="0" indent="0" justifyLastLine="0" shrinkToFit="0" readingOrder="0"/>
      <protection locked="0" hidden="0"/>
    </dxf>
    <dxf>
      <font>
        <strike val="0"/>
        <outline val="0"/>
        <shadow val="0"/>
        <vertAlign val="baseline"/>
        <sz val="8"/>
        <color theme="1"/>
        <name val="Calibri"/>
        <family val="2"/>
        <scheme val="minor"/>
      </font>
      <alignment horizontal="center" vertical="bottom"/>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vertAlign val="baseline"/>
        <sz val="8"/>
        <color theme="1"/>
        <name val="Calibri"/>
        <family val="2"/>
        <scheme val="minor"/>
      </font>
      <numFmt numFmtId="164" formatCode="mmm\ d\ yyyy"/>
      <alignment horizontal="center" vertical="center" textRotation="0" wrapText="0" indent="0" justifyLastLine="0" shrinkToFit="0" readingOrder="0"/>
      <protection locked="0" hidden="0"/>
    </dxf>
    <dxf>
      <font>
        <strike val="0"/>
        <outline val="0"/>
        <shadow val="0"/>
        <vertAlign val="baseline"/>
        <sz val="8"/>
        <color theme="1"/>
        <name val="Calibri"/>
        <family val="2"/>
        <scheme val="minor"/>
      </font>
      <protection locked="0" hidden="0"/>
    </dxf>
    <dxf>
      <font>
        <strike val="0"/>
        <outline val="0"/>
        <shadow val="0"/>
        <vertAlign val="baseline"/>
        <sz val="12"/>
        <color theme="1"/>
        <name val="Calibri"/>
        <family val="2"/>
        <scheme val="minor"/>
      </font>
      <alignment horizontal="center" vertical="bottom"/>
      <protection locked="0" hidden="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ont>
        <color theme="0"/>
      </font>
      <fill>
        <patternFill>
          <bgColor rgb="FF0070C0"/>
        </patternFill>
      </fill>
    </dxf>
    <dxf>
      <font>
        <color theme="0"/>
      </font>
      <fill>
        <patternFill>
          <bgColor theme="1"/>
        </patternFill>
      </fill>
    </dxf>
  </dxfs>
  <tableStyles count="0" defaultTableStyle="TableStyleMedium2" defaultPivotStyle="PivotStyleLight16"/>
  <colors>
    <mruColors>
      <color rgb="FFF4F7FA"/>
      <color rgb="FFF2F2F2"/>
      <color rgb="FFF6EAF5"/>
      <color rgb="FFF0FFEF"/>
      <color rgb="FFFF5757"/>
      <color rgb="FFFFABAB"/>
      <color rgb="FF3F3F3F"/>
      <color rgb="FF92D050"/>
      <color rgb="FFF7FFF8"/>
      <color rgb="FFACC3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fmlaLink="$B$6" lockText="1" noThreeD="1"/>
</file>

<file path=xl/ctrlProps/ctrlProp2.xml><?xml version="1.0" encoding="utf-8"?>
<formControlPr xmlns="http://schemas.microsoft.com/office/spreadsheetml/2009/9/main" objectType="CheckBox" checked="Checked" fmlaLink="$B$7" lockText="1" noThreeD="1"/>
</file>

<file path=xl/ctrlProps/ctrlProp3.xml><?xml version="1.0" encoding="utf-8"?>
<formControlPr xmlns="http://schemas.microsoft.com/office/spreadsheetml/2009/9/main" objectType="CheckBox" checked="Checked" fmlaLink="$B$8" lockText="1" noThreeD="1"/>
</file>

<file path=xl/ctrlProps/ctrlProp4.xml><?xml version="1.0" encoding="utf-8"?>
<formControlPr xmlns="http://schemas.microsoft.com/office/spreadsheetml/2009/9/main" objectType="CheckBox" checked="Checked" fmlaLink="$B$9" lockText="1" noThreeD="1"/>
</file>

<file path=xl/ctrlProps/ctrlProp5.xml><?xml version="1.0" encoding="utf-8"?>
<formControlPr xmlns="http://schemas.microsoft.com/office/spreadsheetml/2009/9/main" objectType="CheckBox" fmlaLink="$B$10" lockText="1" noThreeD="1"/>
</file>

<file path=xl/ctrlProps/ctrlProp6.xml><?xml version="1.0" encoding="utf-8"?>
<formControlPr xmlns="http://schemas.microsoft.com/office/spreadsheetml/2009/9/main" objectType="CheckBox" fmlaLink="$B$11" lockText="1" noThreeD="1"/>
</file>

<file path=xl/ctrlProps/ctrlProp7.xml><?xml version="1.0" encoding="utf-8"?>
<formControlPr xmlns="http://schemas.microsoft.com/office/spreadsheetml/2009/9/main" objectType="CheckBox" fmlaLink="$B$12" lockText="1" noThreeD="1"/>
</file>

<file path=xl/ctrlProps/ctrlProp8.xml><?xml version="1.0" encoding="utf-8"?>
<formControlPr xmlns="http://schemas.microsoft.com/office/spreadsheetml/2009/9/main" objectType="CheckBox" fmlaLink="$B$13" lockText="1" noThreeD="1"/>
</file>

<file path=xl/ctrlProps/ctrlProp9.xml><?xml version="1.0" encoding="utf-8"?>
<formControlPr xmlns="http://schemas.microsoft.com/office/spreadsheetml/2009/9/main" objectType="CheckBox" fmlaLink="$B$14" lockText="1" noThreeD="1"/>
</file>

<file path=xl/ctrlProps/ctrlProp10.xml><?xml version="1.0" encoding="utf-8"?>
<formControlPr xmlns="http://schemas.microsoft.com/office/spreadsheetml/2009/9/main" objectType="CheckBox" checked="Checked" fmlaLink="$B$6" lockText="1" noThreeD="1"/>
</file>

<file path=xl/ctrlProps/ctrlProp11.xml><?xml version="1.0" encoding="utf-8"?>
<formControlPr xmlns="http://schemas.microsoft.com/office/spreadsheetml/2009/9/main" objectType="CheckBox" checked="Checked" fmlaLink="$B$7" lockText="1" noThreeD="1"/>
</file>

<file path=xl/ctrlProps/ctrlProp12.xml><?xml version="1.0" encoding="utf-8"?>
<formControlPr xmlns="http://schemas.microsoft.com/office/spreadsheetml/2009/9/main" objectType="CheckBox" checked="Checked" fmlaLink="$B$8" lockText="1" noThreeD="1"/>
</file>

<file path=xl/ctrlProps/ctrlProp13.xml><?xml version="1.0" encoding="utf-8"?>
<formControlPr xmlns="http://schemas.microsoft.com/office/spreadsheetml/2009/9/main" objectType="CheckBox" checked="Checked" fmlaLink="$B$9" lockText="1" noThreeD="1"/>
</file>

<file path=xl/ctrlProps/ctrlProp14.xml><?xml version="1.0" encoding="utf-8"?>
<formControlPr xmlns="http://schemas.microsoft.com/office/spreadsheetml/2009/9/main" objectType="CheckBox" fmlaLink="#REF!" lockText="1" noThreeD="1"/>
</file>

<file path=xl/ctrlProps/ctrlProp15.xml><?xml version="1.0" encoding="utf-8"?>
<formControlPr xmlns="http://schemas.microsoft.com/office/spreadsheetml/2009/9/main" objectType="CheckBox" fmlaLink="#REF!"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B$10" lockText="1" noThreeD="1"/>
</file>

<file path=xl/ctrlProps/ctrlProp18.xml><?xml version="1.0" encoding="utf-8"?>
<formControlPr xmlns="http://schemas.microsoft.com/office/spreadsheetml/2009/9/main" objectType="CheckBox" fmlaLink="$B$11" lockText="1" noThreeD="1"/>
</file>

<file path=xl/ctrlProps/ctrlProp19.xml><?xml version="1.0" encoding="utf-8"?>
<formControlPr xmlns="http://schemas.microsoft.com/office/spreadsheetml/2009/9/main" objectType="CheckBox" checked="Checked" fmlaLink="$B$6" lockText="1" noThreeD="1"/>
</file>

<file path=xl/ctrlProps/ctrlProp20.xml><?xml version="1.0" encoding="utf-8"?>
<formControlPr xmlns="http://schemas.microsoft.com/office/spreadsheetml/2009/9/main" objectType="CheckBox" checked="Checked" fmlaLink="$B$7" lockText="1" noThreeD="1"/>
</file>

<file path=xl/ctrlProps/ctrlProp21.xml><?xml version="1.0" encoding="utf-8"?>
<formControlPr xmlns="http://schemas.microsoft.com/office/spreadsheetml/2009/9/main" objectType="CheckBox" checked="Checked" fmlaLink="$B$8" lockText="1" noThreeD="1"/>
</file>

<file path=xl/ctrlProps/ctrlProp22.xml><?xml version="1.0" encoding="utf-8"?>
<formControlPr xmlns="http://schemas.microsoft.com/office/spreadsheetml/2009/9/main" objectType="CheckBox" checked="Checked" fmlaLink="$B$9" lockText="1" noThreeD="1"/>
</file>

<file path=xl/ctrlProps/ctrlProp23.xml><?xml version="1.0" encoding="utf-8"?>
<formControlPr xmlns="http://schemas.microsoft.com/office/spreadsheetml/2009/9/main" objectType="CheckBox" fmlaLink="#REF!" lockText="1" noThreeD="1"/>
</file>

<file path=xl/ctrlProps/ctrlProp24.xml><?xml version="1.0" encoding="utf-8"?>
<formControlPr xmlns="http://schemas.microsoft.com/office/spreadsheetml/2009/9/main" objectType="CheckBox" fmlaLink="#REF!" lockText="1" noThreeD="1"/>
</file>

<file path=xl/ctrlProps/ctrlProp25.xml><?xml version="1.0" encoding="utf-8"?>
<formControlPr xmlns="http://schemas.microsoft.com/office/spreadsheetml/2009/9/main" objectType="CheckBox" fmlaLink="#REF!" lockText="1" noThreeD="1"/>
</file>

<file path=xl/ctrlProps/ctrlProp26.xml><?xml version="1.0" encoding="utf-8"?>
<formControlPr xmlns="http://schemas.microsoft.com/office/spreadsheetml/2009/9/main" objectType="CheckBox" fmlaLink="$B$10" lockText="1" noThreeD="1"/>
</file>

<file path=xl/ctrlProps/ctrlProp27.xml><?xml version="1.0" encoding="utf-8"?>
<formControlPr xmlns="http://schemas.microsoft.com/office/spreadsheetml/2009/9/main" objectType="CheckBox" fmlaLink="$B$11" lockText="1" noThreeD="1"/>
</file>

<file path=xl/ctrlProps/ctrlProp28.xml><?xml version="1.0" encoding="utf-8"?>
<formControlPr xmlns="http://schemas.microsoft.com/office/spreadsheetml/2009/9/main" objectType="CheckBox" checked="Checked" fmlaLink="$B$6" lockText="1" noThreeD="1"/>
</file>

<file path=xl/ctrlProps/ctrlProp29.xml><?xml version="1.0" encoding="utf-8"?>
<formControlPr xmlns="http://schemas.microsoft.com/office/spreadsheetml/2009/9/main" objectType="CheckBox" checked="Checked" fmlaLink="$B$7" lockText="1" noThreeD="1"/>
</file>

<file path=xl/ctrlProps/ctrlProp30.xml><?xml version="1.0" encoding="utf-8"?>
<formControlPr xmlns="http://schemas.microsoft.com/office/spreadsheetml/2009/9/main" objectType="CheckBox" checked="Checked" fmlaLink="$B$8" lockText="1" noThreeD="1"/>
</file>

<file path=xl/ctrlProps/ctrlProp31.xml><?xml version="1.0" encoding="utf-8"?>
<formControlPr xmlns="http://schemas.microsoft.com/office/spreadsheetml/2009/9/main" objectType="CheckBox" checked="Checked" fmlaLink="$B$9" lockText="1" noThreeD="1"/>
</file>

<file path=xl/ctrlProps/ctrlProp32.xml><?xml version="1.0" encoding="utf-8"?>
<formControlPr xmlns="http://schemas.microsoft.com/office/spreadsheetml/2009/9/main" objectType="CheckBox" fmlaLink="#REF!" lockText="1" noThreeD="1"/>
</file>

<file path=xl/ctrlProps/ctrlProp33.xml><?xml version="1.0" encoding="utf-8"?>
<formControlPr xmlns="http://schemas.microsoft.com/office/spreadsheetml/2009/9/main" objectType="CheckBox" fmlaLink="#REF!" lockText="1" noThreeD="1"/>
</file>

<file path=xl/ctrlProps/ctrlProp34.xml><?xml version="1.0" encoding="utf-8"?>
<formControlPr xmlns="http://schemas.microsoft.com/office/spreadsheetml/2009/9/main" objectType="CheckBox" fmlaLink="#REF!" lockText="1" noThreeD="1"/>
</file>

<file path=xl/ctrlProps/ctrlProp35.xml><?xml version="1.0" encoding="utf-8"?>
<formControlPr xmlns="http://schemas.microsoft.com/office/spreadsheetml/2009/9/main" objectType="CheckBox" fmlaLink="$B$10" lockText="1" noThreeD="1"/>
</file>

<file path=xl/ctrlProps/ctrlProp36.xml><?xml version="1.0" encoding="utf-8"?>
<formControlPr xmlns="http://schemas.microsoft.com/office/spreadsheetml/2009/9/main" objectType="CheckBox" fmlaLink="$B$11" lockText="1" noThreeD="1"/>
</file>

<file path=xl/ctrlProps/ctrlProp37.xml><?xml version="1.0" encoding="utf-8"?>
<formControlPr xmlns="http://schemas.microsoft.com/office/spreadsheetml/2009/9/main" objectType="CheckBox" checked="Checked" fmlaLink="$B$6" lockText="1" noThreeD="1"/>
</file>

<file path=xl/ctrlProps/ctrlProp38.xml><?xml version="1.0" encoding="utf-8"?>
<formControlPr xmlns="http://schemas.microsoft.com/office/spreadsheetml/2009/9/main" objectType="CheckBox" checked="Checked" fmlaLink="$B$7" lockText="1" noThreeD="1"/>
</file>

<file path=xl/ctrlProps/ctrlProp39.xml><?xml version="1.0" encoding="utf-8"?>
<formControlPr xmlns="http://schemas.microsoft.com/office/spreadsheetml/2009/9/main" objectType="CheckBox" checked="Checked" fmlaLink="$B$8" lockText="1" noThreeD="1"/>
</file>

<file path=xl/ctrlProps/ctrlProp40.xml><?xml version="1.0" encoding="utf-8"?>
<formControlPr xmlns="http://schemas.microsoft.com/office/spreadsheetml/2009/9/main" objectType="CheckBox" checked="Checked" fmlaLink="$B$9" lockText="1" noThreeD="1"/>
</file>

<file path=xl/ctrlProps/ctrlProp41.xml><?xml version="1.0" encoding="utf-8"?>
<formControlPr xmlns="http://schemas.microsoft.com/office/spreadsheetml/2009/9/main" objectType="CheckBox" fmlaLink="#REF!" lockText="1" noThreeD="1"/>
</file>

<file path=xl/ctrlProps/ctrlProp42.xml><?xml version="1.0" encoding="utf-8"?>
<formControlPr xmlns="http://schemas.microsoft.com/office/spreadsheetml/2009/9/main" objectType="CheckBox" fmlaLink="#REF!" lockText="1" noThreeD="1"/>
</file>

<file path=xl/ctrlProps/ctrlProp43.xml><?xml version="1.0" encoding="utf-8"?>
<formControlPr xmlns="http://schemas.microsoft.com/office/spreadsheetml/2009/9/main" objectType="CheckBox" fmlaLink="#REF!" lockText="1" noThreeD="1"/>
</file>

<file path=xl/ctrlProps/ctrlProp44.xml><?xml version="1.0" encoding="utf-8"?>
<formControlPr xmlns="http://schemas.microsoft.com/office/spreadsheetml/2009/9/main" objectType="CheckBox" fmlaLink="$B$10" lockText="1" noThreeD="1"/>
</file>

<file path=xl/ctrlProps/ctrlProp45.xml><?xml version="1.0" encoding="utf-8"?>
<formControlPr xmlns="http://schemas.microsoft.com/office/spreadsheetml/2009/9/main" objectType="CheckBox" fmlaLink="$B$11" lockText="1" noThreeD="1"/>
</file>

<file path=xl/ctrlProps/ctrlProp46.xml><?xml version="1.0" encoding="utf-8"?>
<formControlPr xmlns="http://schemas.microsoft.com/office/spreadsheetml/2009/9/main" objectType="CheckBox" checked="Checked" fmlaLink="$C$6" lockText="1" noThreeD="1"/>
</file>

<file path=xl/ctrlProps/ctrlProp47.xml><?xml version="1.0" encoding="utf-8"?>
<formControlPr xmlns="http://schemas.microsoft.com/office/spreadsheetml/2009/9/main" objectType="CheckBox" checked="Checked" fmlaLink="$C$7" lockText="1" noThreeD="1"/>
</file>

<file path=xl/ctrlProps/ctrlProp48.xml><?xml version="1.0" encoding="utf-8"?>
<formControlPr xmlns="http://schemas.microsoft.com/office/spreadsheetml/2009/9/main" objectType="CheckBox" checked="Checked" fmlaLink="$C$8" lockText="1" noThreeD="1"/>
</file>

<file path=xl/ctrlProps/ctrlProp49.xml><?xml version="1.0" encoding="utf-8"?>
<formControlPr xmlns="http://schemas.microsoft.com/office/spreadsheetml/2009/9/main" objectType="CheckBox" checked="Checked" fmlaLink="$C$9" lockText="1" noThreeD="1"/>
</file>

<file path=xl/ctrlProps/ctrlProp50.xml><?xml version="1.0" encoding="utf-8"?>
<formControlPr xmlns="http://schemas.microsoft.com/office/spreadsheetml/2009/9/main" objectType="CheckBox" checked="Checked" fmlaLink="$C$10" lockText="1" noThreeD="1"/>
</file>

<file path=xl/ctrlProps/ctrlProp51.xml><?xml version="1.0" encoding="utf-8"?>
<formControlPr xmlns="http://schemas.microsoft.com/office/spreadsheetml/2009/9/main" objectType="CheckBox" checked="Checked" fmlaLink="$C$11" lockText="1" noThreeD="1"/>
</file>

<file path=xl/ctrlProps/ctrlProp52.xml><?xml version="1.0" encoding="utf-8"?>
<formControlPr xmlns="http://schemas.microsoft.com/office/spreadsheetml/2009/9/main" objectType="CheckBox" fmlaLink="$C$12" lockText="1" noThreeD="1"/>
</file>

<file path=xl/ctrlProps/ctrlProp53.xml><?xml version="1.0" encoding="utf-8"?>
<formControlPr xmlns="http://schemas.microsoft.com/office/spreadsheetml/2009/9/main" objectType="CheckBox" fmlaLink="$C$13" lockText="1" noThreeD="1"/>
</file>

<file path=xl/ctrlProps/ctrlProp54.xml><?xml version="1.0" encoding="utf-8"?>
<formControlPr xmlns="http://schemas.microsoft.com/office/spreadsheetml/2009/9/main" objectType="CheckBox" fmlaLink="$C$14" lockText="1" noThreeD="1"/>
</file>

<file path=xl/ctrlProps/ctrlProp55.xml><?xml version="1.0" encoding="utf-8"?>
<formControlPr xmlns="http://schemas.microsoft.com/office/spreadsheetml/2009/9/main" objectType="List" dx="22" fmlaLink="$R$4" fmlaRange="$S$4:$S$15" noThreeD="1" sel="4" val="0"/>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1506;&#1489;&#1493;&#1491;&#1493;&#1514; &#1502;&#1514;&#1493;&#1499;&#1504;&#1504;&#1493;&#1514;'!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1506;&#1491;&#1499;&#1493;&#1504;&#1497;&#1501; &#1493;&#1488;&#1497;&#1512;&#1493;&#1506;&#1497;&#1501;(&#1492;&#1506;&#1489;&#1512;&#1514; &#1502;&#1513;&#1502;&#1512;&#1514;)'!A1"/><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hyperlink" Target="#&#1490;&#1497;&#1489;&#1493;&#1497;&#1497;&#1501;!A1"/></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Main!A1"/></Relationships>
</file>

<file path=xl/drawings/drawing1.xml><?xml version="1.0" encoding="utf-8"?>
<xdr:wsDr xmlns:xdr="http://schemas.openxmlformats.org/drawingml/2006/spreadsheetDrawing" xmlns:a="http://schemas.openxmlformats.org/drawingml/2006/main">
  <xdr:twoCellAnchor>
    <xdr:from>
      <xdr:col>1</xdr:col>
      <xdr:colOff>6626</xdr:colOff>
      <xdr:row>0</xdr:row>
      <xdr:rowOff>189733</xdr:rowOff>
    </xdr:from>
    <xdr:to>
      <xdr:col>2</xdr:col>
      <xdr:colOff>586823</xdr:colOff>
      <xdr:row>32</xdr:row>
      <xdr:rowOff>180360</xdr:rowOff>
    </xdr:to>
    <xdr:sp macro="" textlink="">
      <xdr:nvSpPr>
        <xdr:cNvPr id="2" name="Rectangle: Top Corners One Rounded and One Snipped 1">
          <a:extLst>
            <a:ext uri="{FF2B5EF4-FFF2-40B4-BE49-F238E27FC236}">
              <a16:creationId xmlns:a16="http://schemas.microsoft.com/office/drawing/2014/main" id="{270B4142-EBC8-FB3F-11FC-A3AE78356231}"/>
            </a:ext>
          </a:extLst>
        </xdr:cNvPr>
        <xdr:cNvSpPr/>
      </xdr:nvSpPr>
      <xdr:spPr>
        <a:xfrm flipH="1">
          <a:off x="9994395727" y="189733"/>
          <a:ext cx="1189797" cy="6724802"/>
        </a:xfrm>
        <a:prstGeom prst="snipRoundRect">
          <a:avLst>
            <a:gd name="adj1" fmla="val 50000"/>
            <a:gd name="adj2" fmla="val 0"/>
          </a:avLst>
        </a:prstGeom>
        <a:solidFill>
          <a:schemeClr val="bg1">
            <a:lumMod val="95000"/>
          </a:schemeClr>
        </a:solidFill>
        <a:ln>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L"/>
        </a:p>
      </xdr:txBody>
    </xdr:sp>
    <xdr:clientData/>
  </xdr:twoCellAnchor>
  <xdr:twoCellAnchor editAs="oneCell">
    <xdr:from>
      <xdr:col>1</xdr:col>
      <xdr:colOff>41413</xdr:colOff>
      <xdr:row>1</xdr:row>
      <xdr:rowOff>65432</xdr:rowOff>
    </xdr:from>
    <xdr:to>
      <xdr:col>2</xdr:col>
      <xdr:colOff>590550</xdr:colOff>
      <xdr:row>5</xdr:row>
      <xdr:rowOff>155012</xdr:rowOff>
    </xdr:to>
    <xdr:pic>
      <xdr:nvPicPr>
        <xdr:cNvPr id="5" name="Picture 4">
          <a:extLst>
            <a:ext uri="{FF2B5EF4-FFF2-40B4-BE49-F238E27FC236}">
              <a16:creationId xmlns:a16="http://schemas.microsoft.com/office/drawing/2014/main" id="{AD1181B7-705C-488F-8A3C-4A00F4661B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0379950" y="264215"/>
          <a:ext cx="1162050" cy="876426"/>
        </a:xfrm>
        <a:prstGeom prst="rect">
          <a:avLst/>
        </a:prstGeom>
      </xdr:spPr>
    </xdr:pic>
    <xdr:clientData/>
  </xdr:twoCellAnchor>
  <xdr:twoCellAnchor editAs="oneCell">
    <xdr:from>
      <xdr:col>7</xdr:col>
      <xdr:colOff>53010</xdr:colOff>
      <xdr:row>4</xdr:row>
      <xdr:rowOff>74958</xdr:rowOff>
    </xdr:from>
    <xdr:to>
      <xdr:col>7</xdr:col>
      <xdr:colOff>361123</xdr:colOff>
      <xdr:row>5</xdr:row>
      <xdr:rowOff>180976</xdr:rowOff>
    </xdr:to>
    <xdr:pic macro="[0]!SaveShiftData">
      <xdr:nvPicPr>
        <xdr:cNvPr id="7" name="Picture 6">
          <a:extLst>
            <a:ext uri="{FF2B5EF4-FFF2-40B4-BE49-F238E27FC236}">
              <a16:creationId xmlns:a16="http://schemas.microsoft.com/office/drawing/2014/main" id="{3AF94D24-1B17-BE1F-2D38-E0F58B9D3D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38400811" y="861806"/>
          <a:ext cx="308113" cy="304800"/>
        </a:xfrm>
        <a:prstGeom prst="rect">
          <a:avLst/>
        </a:prstGeom>
      </xdr:spPr>
    </xdr:pic>
    <xdr:clientData/>
  </xdr:twoCellAnchor>
  <xdr:twoCellAnchor editAs="oneCell">
    <xdr:from>
      <xdr:col>7</xdr:col>
      <xdr:colOff>40170</xdr:colOff>
      <xdr:row>1</xdr:row>
      <xdr:rowOff>6626</xdr:rowOff>
    </xdr:from>
    <xdr:to>
      <xdr:col>7</xdr:col>
      <xdr:colOff>354495</xdr:colOff>
      <xdr:row>2</xdr:row>
      <xdr:rowOff>127966</xdr:rowOff>
    </xdr:to>
    <xdr:pic macro="[0]!LoadShiftData">
      <xdr:nvPicPr>
        <xdr:cNvPr id="9" name="Picture 8">
          <a:extLst>
            <a:ext uri="{FF2B5EF4-FFF2-40B4-BE49-F238E27FC236}">
              <a16:creationId xmlns:a16="http://schemas.microsoft.com/office/drawing/2014/main" id="{DF776E0A-BD00-BC74-575E-667E23AA742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38407439" y="205409"/>
          <a:ext cx="314325" cy="311840"/>
        </a:xfrm>
        <a:prstGeom prst="rect">
          <a:avLst/>
        </a:prstGeom>
      </xdr:spPr>
    </xdr:pic>
    <xdr:clientData/>
  </xdr:twoCellAnchor>
  <xdr:twoCellAnchor editAs="oneCell">
    <xdr:from>
      <xdr:col>1</xdr:col>
      <xdr:colOff>323020</xdr:colOff>
      <xdr:row>28</xdr:row>
      <xdr:rowOff>123978</xdr:rowOff>
    </xdr:from>
    <xdr:to>
      <xdr:col>2</xdr:col>
      <xdr:colOff>248477</xdr:colOff>
      <xdr:row>31</xdr:row>
      <xdr:rowOff>90848</xdr:rowOff>
    </xdr:to>
    <xdr:pic macro="[0]!CreateYesterdayStaticCopy">
      <xdr:nvPicPr>
        <xdr:cNvPr id="12" name="Picture 11">
          <a:extLst>
            <a:ext uri="{FF2B5EF4-FFF2-40B4-BE49-F238E27FC236}">
              <a16:creationId xmlns:a16="http://schemas.microsoft.com/office/drawing/2014/main" id="{2DAAB1B7-5E85-B8BA-11FE-03530898927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050390718" y="6311087"/>
          <a:ext cx="538370" cy="538370"/>
        </a:xfrm>
        <a:prstGeom prst="rect">
          <a:avLst/>
        </a:prstGeom>
      </xdr:spPr>
    </xdr:pic>
    <xdr:clientData/>
  </xdr:twoCellAnchor>
  <xdr:twoCellAnchor editAs="oneCell">
    <xdr:from>
      <xdr:col>1</xdr:col>
      <xdr:colOff>248333</xdr:colOff>
      <xdr:row>14</xdr:row>
      <xdr:rowOff>179722</xdr:rowOff>
    </xdr:from>
    <xdr:to>
      <xdr:col>2</xdr:col>
      <xdr:colOff>325143</xdr:colOff>
      <xdr:row>18</xdr:row>
      <xdr:rowOff>59819</xdr:rowOff>
    </xdr:to>
    <xdr:pic>
      <xdr:nvPicPr>
        <xdr:cNvPr id="20" name="Picture 19">
          <a:hlinkClick xmlns:r="http://schemas.openxmlformats.org/officeDocument/2006/relationships" r:id="rId5"/>
          <a:extLst>
            <a:ext uri="{FF2B5EF4-FFF2-40B4-BE49-F238E27FC236}">
              <a16:creationId xmlns:a16="http://schemas.microsoft.com/office/drawing/2014/main" id="{A54E1283-9696-8381-EF0E-F0897D29D13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994657407" y="3056272"/>
          <a:ext cx="686410" cy="6897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4171950</xdr:colOff>
          <xdr:row>9</xdr:row>
          <xdr:rowOff>9525</xdr:rowOff>
        </xdr:from>
        <xdr:to>
          <xdr:col>4</xdr:col>
          <xdr:colOff>47625</xdr:colOff>
          <xdr:row>10</xdr:row>
          <xdr:rowOff>19050</xdr:rowOff>
        </xdr:to>
        <xdr:sp macro="" textlink="">
          <xdr:nvSpPr>
            <xdr:cNvPr id="1029" name="Check Box 5" descr="בוצע"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10</xdr:row>
          <xdr:rowOff>19050</xdr:rowOff>
        </xdr:from>
        <xdr:to>
          <xdr:col>4</xdr:col>
          <xdr:colOff>76200</xdr:colOff>
          <xdr:row>11</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11</xdr:row>
          <xdr:rowOff>28575</xdr:rowOff>
        </xdr:from>
        <xdr:to>
          <xdr:col>4</xdr:col>
          <xdr:colOff>85725</xdr:colOff>
          <xdr:row>12</xdr:row>
          <xdr:rowOff>9525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12</xdr:row>
          <xdr:rowOff>19050</xdr:rowOff>
        </xdr:from>
        <xdr:to>
          <xdr:col>4</xdr:col>
          <xdr:colOff>104775</xdr:colOff>
          <xdr:row>13</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12</xdr:row>
          <xdr:rowOff>228600</xdr:rowOff>
        </xdr:from>
        <xdr:to>
          <xdr:col>4</xdr:col>
          <xdr:colOff>114300</xdr:colOff>
          <xdr:row>14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13</xdr:row>
          <xdr:rowOff>180975</xdr:rowOff>
        </xdr:from>
        <xdr:to>
          <xdr:col>4</xdr:col>
          <xdr:colOff>57150</xdr:colOff>
          <xdr:row>15</xdr:row>
          <xdr:rowOff>19050</xdr:rowOff>
        </xdr:to>
        <xdr:sp macro="" textlink="">
          <xdr:nvSpPr>
            <xdr:cNvPr id="1043" name="Check Box 19" descr="בוצע"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15</xdr:row>
          <xdr:rowOff>9525</xdr:rowOff>
        </xdr:from>
        <xdr:to>
          <xdr:col>4</xdr:col>
          <xdr:colOff>47625</xdr:colOff>
          <xdr:row>16</xdr:row>
          <xdr:rowOff>38100</xdr:rowOff>
        </xdr:to>
        <xdr:sp macro="" textlink="">
          <xdr:nvSpPr>
            <xdr:cNvPr id="1044" name="Check Box 20" descr="בוצע"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16</xdr:row>
          <xdr:rowOff>9525</xdr:rowOff>
        </xdr:from>
        <xdr:to>
          <xdr:col>4</xdr:col>
          <xdr:colOff>57150</xdr:colOff>
          <xdr:row>17</xdr:row>
          <xdr:rowOff>38100</xdr:rowOff>
        </xdr:to>
        <xdr:sp macro="" textlink="">
          <xdr:nvSpPr>
            <xdr:cNvPr id="1045" name="Check Box 21" descr="בוצע"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4171950</xdr:colOff>
          <xdr:row>17</xdr:row>
          <xdr:rowOff>0</xdr:rowOff>
        </xdr:from>
        <xdr:to>
          <xdr:col>4</xdr:col>
          <xdr:colOff>57150</xdr:colOff>
          <xdr:row>17</xdr:row>
          <xdr:rowOff>219075</xdr:rowOff>
        </xdr:to>
        <xdr:sp macro="" textlink="">
          <xdr:nvSpPr>
            <xdr:cNvPr id="1046" name="Check Box 22" descr="בוצע"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59" name="Check Box 35" descr="בוצע"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64" name="Check Box 40" descr="בוצע"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65" name="Check Box 41" descr="בוצע"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66" name="Check Box 42" descr="בוצע"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304800</xdr:colOff>
          <xdr:row>17</xdr:row>
          <xdr:rowOff>219075</xdr:rowOff>
        </xdr:to>
        <xdr:sp macro="" textlink="">
          <xdr:nvSpPr>
            <xdr:cNvPr id="1067" name="Check Box 43" descr="בוצע"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68" name="Check Box 44" descr="בוצע"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73" name="Check Box 49" descr="בוצע"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74" name="Check Box 50" descr="בוצע"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75" name="Check Box 51" descr="בוצע"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314325</xdr:colOff>
          <xdr:row>17</xdr:row>
          <xdr:rowOff>219075</xdr:rowOff>
        </xdr:to>
        <xdr:sp macro="" textlink="">
          <xdr:nvSpPr>
            <xdr:cNvPr id="1076" name="Check Box 52" descr="בוצע"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77" name="Check Box 53" descr="בוצע"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82" name="Check Box 58" descr="בוצע"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83" name="Check Box 59" descr="בוצע"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84" name="Check Box 60" descr="בוצע"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314325</xdr:colOff>
          <xdr:row>17</xdr:row>
          <xdr:rowOff>219075</xdr:rowOff>
        </xdr:to>
        <xdr:sp macro="" textlink="">
          <xdr:nvSpPr>
            <xdr:cNvPr id="1085" name="Check Box 61" descr="בוצע"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86" name="Check Box 62" descr="בוצע"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091" name="Check Box 67" descr="בוצע"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092" name="Check Box 68" descr="בוצע"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093" name="Check Box 69" descr="בוצע"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314325</xdr:colOff>
          <xdr:row>17</xdr:row>
          <xdr:rowOff>219075</xdr:rowOff>
        </xdr:to>
        <xdr:sp macro="" textlink="">
          <xdr:nvSpPr>
            <xdr:cNvPr id="1094" name="Check Box 70" descr="בוצע"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9</xdr:row>
          <xdr:rowOff>9525</xdr:rowOff>
        </xdr:from>
        <xdr:to>
          <xdr:col>6</xdr:col>
          <xdr:colOff>304800</xdr:colOff>
          <xdr:row>10</xdr:row>
          <xdr:rowOff>19050</xdr:rowOff>
        </xdr:to>
        <xdr:sp macro="" textlink="">
          <xdr:nvSpPr>
            <xdr:cNvPr id="1095" name="Check Box 71" descr="בוצע"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10</xdr:row>
          <xdr:rowOff>19050</xdr:rowOff>
        </xdr:from>
        <xdr:to>
          <xdr:col>6</xdr:col>
          <xdr:colOff>333375</xdr:colOff>
          <xdr:row>11</xdr:row>
          <xdr:rowOff>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11</xdr:row>
          <xdr:rowOff>28575</xdr:rowOff>
        </xdr:from>
        <xdr:to>
          <xdr:col>6</xdr:col>
          <xdr:colOff>342900</xdr:colOff>
          <xdr:row>12</xdr:row>
          <xdr:rowOff>9525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19050</xdr:rowOff>
        </xdr:from>
        <xdr:to>
          <xdr:col>6</xdr:col>
          <xdr:colOff>361950</xdr:colOff>
          <xdr:row>13</xdr:row>
          <xdr:rowOff>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12</xdr:row>
          <xdr:rowOff>228600</xdr:rowOff>
        </xdr:from>
        <xdr:to>
          <xdr:col>6</xdr:col>
          <xdr:colOff>371475</xdr:colOff>
          <xdr:row>14</xdr:row>
          <xdr:rowOff>19050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13</xdr:row>
          <xdr:rowOff>180975</xdr:rowOff>
        </xdr:from>
        <xdr:to>
          <xdr:col>6</xdr:col>
          <xdr:colOff>314325</xdr:colOff>
          <xdr:row>15</xdr:row>
          <xdr:rowOff>19050</xdr:rowOff>
        </xdr:to>
        <xdr:sp macro="" textlink="">
          <xdr:nvSpPr>
            <xdr:cNvPr id="1100" name="Check Box 76" descr="בוצע"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15</xdr:row>
          <xdr:rowOff>9525</xdr:rowOff>
        </xdr:from>
        <xdr:to>
          <xdr:col>6</xdr:col>
          <xdr:colOff>304800</xdr:colOff>
          <xdr:row>16</xdr:row>
          <xdr:rowOff>38100</xdr:rowOff>
        </xdr:to>
        <xdr:sp macro="" textlink="">
          <xdr:nvSpPr>
            <xdr:cNvPr id="1101" name="Check Box 77" descr="בוצע"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16</xdr:row>
          <xdr:rowOff>9525</xdr:rowOff>
        </xdr:from>
        <xdr:to>
          <xdr:col>6</xdr:col>
          <xdr:colOff>314325</xdr:colOff>
          <xdr:row>17</xdr:row>
          <xdr:rowOff>38100</xdr:rowOff>
        </xdr:to>
        <xdr:sp macro="" textlink="">
          <xdr:nvSpPr>
            <xdr:cNvPr id="1102" name="Check Box 78" descr="בוצע"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4171950</xdr:colOff>
          <xdr:row>17</xdr:row>
          <xdr:rowOff>0</xdr:rowOff>
        </xdr:from>
        <xdr:to>
          <xdr:col>6</xdr:col>
          <xdr:colOff>304800</xdr:colOff>
          <xdr:row>17</xdr:row>
          <xdr:rowOff>219075</xdr:rowOff>
        </xdr:to>
        <xdr:sp macro="" textlink="">
          <xdr:nvSpPr>
            <xdr:cNvPr id="1103" name="Check Box 79" descr="בוצע"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99CC00" mc:Ignorable="a14" a14:legacySpreadsheetColorIndex="50"/>
                  </a:solidFill>
                </a14:hiddenFill>
              </a:ext>
              <a:ext uri="{91240B29-F687-4F45-9708-019B960494DF}">
                <a14:hiddenLine w="9525">
                  <a:solidFill>
                    <a:srgbClr val="FFFF00" mc:Ignorable="a14" a14:legacySpreadsheetColorIndex="13"/>
                  </a:solidFill>
                  <a:miter lim="800000"/>
                  <a:headEnd/>
                  <a:tailEnd/>
                </a14:hiddenLine>
              </a:ext>
            </a:extLst>
          </xdr:spPr>
          <xdr:txBody>
            <a:bodyPr vertOverflow="clip" wrap="square" lIns="18288" tIns="0" rIns="0" bIns="0" anchor="ctr" upright="1"/>
            <a:lstStyle/>
            <a:p>
              <a:pPr algn="r" rtl="0">
                <a:defRPr sz="1000"/>
              </a:pPr>
              <a:endParaRPr lang="en-IL"/>
            </a:p>
          </xdr:txBody>
        </xdr:sp>
        <xdr:clientData/>
      </xdr:twoCellAnchor>
    </mc:Choice>
    <mc:Fallback/>
  </mc:AlternateContent>
  <xdr:twoCellAnchor editAs="oneCell">
    <xdr:from>
      <xdr:col>1</xdr:col>
      <xdr:colOff>247421</xdr:colOff>
      <xdr:row>19</xdr:row>
      <xdr:rowOff>152397</xdr:rowOff>
    </xdr:from>
    <xdr:to>
      <xdr:col>2</xdr:col>
      <xdr:colOff>308310</xdr:colOff>
      <xdr:row>21</xdr:row>
      <xdr:rowOff>152396</xdr:rowOff>
    </xdr:to>
    <xdr:pic>
      <xdr:nvPicPr>
        <xdr:cNvPr id="6" name="Picture 5">
          <a:hlinkClick xmlns:r="http://schemas.openxmlformats.org/officeDocument/2006/relationships" r:id="rId7"/>
          <a:extLst>
            <a:ext uri="{FF2B5EF4-FFF2-40B4-BE49-F238E27FC236}">
              <a16:creationId xmlns:a16="http://schemas.microsoft.com/office/drawing/2014/main" id="{AD3249FA-83C5-51D0-5771-34E171FB9A3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994674240" y="4029072"/>
          <a:ext cx="670489" cy="666749"/>
        </a:xfrm>
        <a:prstGeom prst="rect">
          <a:avLst/>
        </a:prstGeom>
      </xdr:spPr>
    </xdr:pic>
    <xdr:clientData/>
  </xdr:twoCellAnchor>
  <xdr:twoCellAnchor editAs="oneCell">
    <xdr:from>
      <xdr:col>1</xdr:col>
      <xdr:colOff>258349</xdr:colOff>
      <xdr:row>10</xdr:row>
      <xdr:rowOff>131208</xdr:rowOff>
    </xdr:from>
    <xdr:to>
      <xdr:col>2</xdr:col>
      <xdr:colOff>293800</xdr:colOff>
      <xdr:row>13</xdr:row>
      <xdr:rowOff>63140</xdr:rowOff>
    </xdr:to>
    <xdr:pic>
      <xdr:nvPicPr>
        <xdr:cNvPr id="8" name="Picture 7">
          <a:hlinkClick xmlns:r="http://schemas.openxmlformats.org/officeDocument/2006/relationships" r:id="rId9"/>
          <a:extLst>
            <a:ext uri="{FF2B5EF4-FFF2-40B4-BE49-F238E27FC236}">
              <a16:creationId xmlns:a16="http://schemas.microsoft.com/office/drawing/2014/main" id="{FA103860-D8D0-FA11-BE5C-2A6C6544BD9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994688750" y="2102883"/>
          <a:ext cx="645051" cy="6463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0</xdr:row>
      <xdr:rowOff>266700</xdr:rowOff>
    </xdr:from>
    <xdr:to>
      <xdr:col>7</xdr:col>
      <xdr:colOff>942531</xdr:colOff>
      <xdr:row>2</xdr:row>
      <xdr:rowOff>127000</xdr:rowOff>
    </xdr:to>
    <xdr:pic>
      <xdr:nvPicPr>
        <xdr:cNvPr id="3" name="Picture 2" descr="עדכונים ואירועים">
          <a:hlinkClick xmlns:r="http://schemas.openxmlformats.org/officeDocument/2006/relationships" r:id="rId1" tooltip="check"/>
          <a:extLst>
            <a:ext uri="{FF2B5EF4-FFF2-40B4-BE49-F238E27FC236}">
              <a16:creationId xmlns:a16="http://schemas.microsoft.com/office/drawing/2014/main" id="{599A7E91-A0B5-41D2-A98D-1F448603668B}"/>
            </a:ext>
          </a:extLst>
        </xdr:cNvPr>
        <xdr:cNvPicPr>
          <a:picLocks noChangeAspect="1"/>
        </xdr:cNvPicPr>
      </xdr:nvPicPr>
      <xdr:blipFill>
        <a:blip xmlns:r="http://schemas.openxmlformats.org/officeDocument/2006/relationships" r:embed="rId2"/>
        <a:stretch>
          <a:fillRect/>
        </a:stretch>
      </xdr:blipFill>
      <xdr:spPr>
        <a:xfrm>
          <a:off x="33485109369" y="266700"/>
          <a:ext cx="942531" cy="939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5153025</xdr:colOff>
      <xdr:row>0</xdr:row>
      <xdr:rowOff>123825</xdr:rowOff>
    </xdr:from>
    <xdr:to>
      <xdr:col>4</xdr:col>
      <xdr:colOff>697373</xdr:colOff>
      <xdr:row>2</xdr:row>
      <xdr:rowOff>161925</xdr:rowOff>
    </xdr:to>
    <xdr:pic>
      <xdr:nvPicPr>
        <xdr:cNvPr id="4" name="Picture 3" descr="עדכונים ואירועים">
          <a:hlinkClick xmlns:r="http://schemas.openxmlformats.org/officeDocument/2006/relationships" r:id="rId1" tooltip="check"/>
          <a:extLst>
            <a:ext uri="{FF2B5EF4-FFF2-40B4-BE49-F238E27FC236}">
              <a16:creationId xmlns:a16="http://schemas.microsoft.com/office/drawing/2014/main" id="{97984195-0591-49C6-97A7-AF3F19E669A8}"/>
            </a:ext>
          </a:extLst>
        </xdr:cNvPr>
        <xdr:cNvPicPr>
          <a:picLocks noChangeAspect="1"/>
        </xdr:cNvPicPr>
      </xdr:nvPicPr>
      <xdr:blipFill>
        <a:blip xmlns:r="http://schemas.openxmlformats.org/officeDocument/2006/relationships" r:embed="rId2"/>
        <a:stretch>
          <a:fillRect/>
        </a:stretch>
      </xdr:blipFill>
      <xdr:spPr>
        <a:xfrm>
          <a:off x="22621806277" y="123825"/>
          <a:ext cx="706898" cy="704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11</xdr:row>
          <xdr:rowOff>19050</xdr:rowOff>
        </xdr:from>
        <xdr:to>
          <xdr:col>10</xdr:col>
          <xdr:colOff>476250</xdr:colOff>
          <xdr:row>18</xdr:row>
          <xdr:rowOff>104775</xdr:rowOff>
        </xdr:to>
        <xdr:sp macro="" textlink="">
          <xdr:nvSpPr>
            <xdr:cNvPr id="17409" name="List Box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295275</xdr:colOff>
      <xdr:row>2</xdr:row>
      <xdr:rowOff>733425</xdr:rowOff>
    </xdr:from>
    <xdr:to>
      <xdr:col>10</xdr:col>
      <xdr:colOff>609156</xdr:colOff>
      <xdr:row>5</xdr:row>
      <xdr:rowOff>187325</xdr:rowOff>
    </xdr:to>
    <xdr:pic>
      <xdr:nvPicPr>
        <xdr:cNvPr id="2" name="Picture 1" descr="עדכונים ואירועים">
          <a:hlinkClick xmlns:r="http://schemas.openxmlformats.org/officeDocument/2006/relationships" r:id="rId1" tooltip="check"/>
          <a:extLst>
            <a:ext uri="{FF2B5EF4-FFF2-40B4-BE49-F238E27FC236}">
              <a16:creationId xmlns:a16="http://schemas.microsoft.com/office/drawing/2014/main" id="{F8205B9B-B443-4B1F-8CFE-81C2F47A7595}"/>
            </a:ext>
          </a:extLst>
        </xdr:cNvPr>
        <xdr:cNvPicPr>
          <a:picLocks noChangeAspect="1"/>
        </xdr:cNvPicPr>
      </xdr:nvPicPr>
      <xdr:blipFill>
        <a:blip xmlns:r="http://schemas.openxmlformats.org/officeDocument/2006/relationships" r:embed="rId2"/>
        <a:stretch>
          <a:fillRect/>
        </a:stretch>
      </xdr:blipFill>
      <xdr:spPr>
        <a:xfrm>
          <a:off x="10382250" y="733425"/>
          <a:ext cx="942531" cy="9398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D7B5D5-722F-47D3-8193-BE23C52BFCB7}" name="tblInputs" displayName="tblInputs" ref="M4:O200" totalsRowShown="0" headerRowDxfId="4" dataDxfId="3">
  <autoFilter ref="M4:O200" xr:uid="{00000000-0009-0000-0100-000001000000}"/>
  <sortState xmlns:xlrd2="http://schemas.microsoft.com/office/spreadsheetml/2017/richdata2" ref="M5:O200">
    <sortCondition ref="M4:M200"/>
  </sortState>
  <tableColumns count="3">
    <tableColumn id="1" xr3:uid="{B0CED8CC-BCAA-452D-9E6A-FBBAE5C0047D}" name="Date" dataDxfId="2"/>
    <tableColumn id="3" xr3:uid="{10AB78E1-B063-44E0-AF3F-6B3FD966C462}" name="Event Description" dataDxfId="1"/>
    <tableColumn id="5" xr3:uid="{7937EB9B-2173-45EC-91FF-AA3851630289}" name="Start - End"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48"/>
  <sheetViews>
    <sheetView rightToLeft="1" tabSelected="1" topLeftCell="A17" zoomScale="114" zoomScaleNormal="115" workbookViewId="0">
      <selection activeCell="D22" sqref="D22"/>
    </sheetView>
  </sheetViews>
  <sheetFormatPr defaultColWidth="9.140625" defaultRowHeight="15" x14ac:dyDescent="0.25"/>
  <cols>
    <col min="1" max="1" width="7.7109375" style="1" customWidth="1"/>
    <col min="2" max="2" width="9.140625" style="1"/>
    <col min="3" max="3" width="9.140625" style="1" customWidth="1"/>
    <col min="4" max="4" width="66.42578125" style="1" customWidth="1"/>
    <col min="5" max="5" width="21.42578125" style="1" customWidth="1"/>
    <col min="6" max="6" width="61.7109375" style="1" customWidth="1"/>
    <col min="7" max="7" width="17.5703125" style="1" customWidth="1"/>
    <col min="8" max="8" width="6.85546875" style="1" customWidth="1"/>
    <col min="9" max="9" width="17.140625" style="1" customWidth="1"/>
    <col min="10" max="16384" width="9.140625" style="1"/>
  </cols>
  <sheetData>
    <row r="1" spans="1:28" ht="15.75" thickBot="1" x14ac:dyDescent="0.3">
      <c r="H1" s="6" t="s">
        <v>0</v>
      </c>
    </row>
    <row r="2" spans="1:28" ht="15" customHeight="1" x14ac:dyDescent="0.25">
      <c r="D2" s="210" t="s">
        <v>1</v>
      </c>
      <c r="E2" s="213" t="s">
        <v>2</v>
      </c>
      <c r="F2" s="214"/>
      <c r="G2" s="205" t="s">
        <v>3</v>
      </c>
      <c r="H2" s="42"/>
      <c r="I2" s="42"/>
      <c r="K2" s="51">
        <v>45686</v>
      </c>
      <c r="L2" s="4"/>
      <c r="M2" s="6"/>
      <c r="N2" s="4"/>
    </row>
    <row r="3" spans="1:28" ht="15.75" customHeight="1" x14ac:dyDescent="0.25">
      <c r="D3" s="211"/>
      <c r="E3" s="215"/>
      <c r="F3" s="216"/>
      <c r="G3" s="206"/>
      <c r="H3" s="42"/>
      <c r="I3" s="42"/>
      <c r="K3" s="4"/>
      <c r="L3" s="4"/>
      <c r="M3" s="4"/>
      <c r="N3" s="4"/>
    </row>
    <row r="4" spans="1:28" ht="15.75" customHeight="1" x14ac:dyDescent="0.25">
      <c r="D4" s="212"/>
      <c r="E4" s="217"/>
      <c r="F4" s="218"/>
      <c r="G4" s="207"/>
      <c r="H4" s="6" t="s">
        <v>4</v>
      </c>
      <c r="I4" s="42"/>
      <c r="K4" s="4"/>
      <c r="L4" s="4"/>
      <c r="M4" s="4"/>
      <c r="N4" s="4"/>
      <c r="V4" s="202"/>
      <c r="W4" s="202"/>
      <c r="X4" s="202"/>
      <c r="Y4" s="202"/>
      <c r="Z4" s="202"/>
      <c r="AA4" s="202"/>
      <c r="AB4" s="202"/>
    </row>
    <row r="5" spans="1:28" ht="15.75" customHeight="1" x14ac:dyDescent="0.25">
      <c r="D5" s="223" t="s">
        <v>34</v>
      </c>
      <c r="E5" s="219" t="s">
        <v>56</v>
      </c>
      <c r="F5" s="220"/>
      <c r="G5" s="208">
        <v>45747</v>
      </c>
      <c r="H5" s="43"/>
      <c r="I5" s="43"/>
      <c r="J5" s="44"/>
      <c r="K5" s="4"/>
      <c r="L5" s="4"/>
      <c r="M5" s="4"/>
      <c r="N5" s="4"/>
      <c r="V5" s="202"/>
      <c r="W5" s="202"/>
      <c r="X5" s="202"/>
      <c r="Y5" s="202"/>
      <c r="Z5" s="202"/>
      <c r="AA5" s="202"/>
      <c r="AB5" s="202"/>
    </row>
    <row r="6" spans="1:28" ht="15.75" customHeight="1" thickBot="1" x14ac:dyDescent="0.3">
      <c r="B6" s="1" t="b">
        <v>1</v>
      </c>
      <c r="C6" s="1" t="b">
        <v>1</v>
      </c>
      <c r="D6" s="224"/>
      <c r="E6" s="221"/>
      <c r="F6" s="222"/>
      <c r="G6" s="209"/>
      <c r="H6" s="40"/>
      <c r="I6" s="40"/>
      <c r="J6" s="2"/>
      <c r="K6" s="2"/>
      <c r="L6" s="2"/>
      <c r="M6" s="2"/>
    </row>
    <row r="7" spans="1:28" ht="15" customHeight="1" thickBot="1" x14ac:dyDescent="0.3">
      <c r="B7" s="1" t="b">
        <v>1</v>
      </c>
      <c r="C7" s="1" t="b">
        <v>1</v>
      </c>
      <c r="D7" s="45"/>
      <c r="E7" s="46"/>
      <c r="F7" s="45"/>
      <c r="G7" s="46"/>
      <c r="H7" s="40"/>
      <c r="I7" s="40"/>
      <c r="J7" s="2"/>
      <c r="K7" s="2"/>
      <c r="L7" s="2"/>
      <c r="M7" s="2"/>
    </row>
    <row r="8" spans="1:28" ht="15" customHeight="1" thickTop="1" x14ac:dyDescent="0.25">
      <c r="A8" s="134"/>
      <c r="B8" s="1" t="b">
        <v>1</v>
      </c>
      <c r="C8" s="1" t="b">
        <v>1</v>
      </c>
      <c r="D8" s="203" t="s">
        <v>7</v>
      </c>
      <c r="E8" s="203"/>
      <c r="F8" s="203"/>
      <c r="G8" s="203"/>
      <c r="H8" s="40"/>
      <c r="I8" s="40"/>
      <c r="J8" s="2"/>
      <c r="K8" s="2"/>
      <c r="L8" s="2"/>
      <c r="M8" s="2"/>
    </row>
    <row r="9" spans="1:28" ht="15" customHeight="1" x14ac:dyDescent="0.25">
      <c r="A9" s="134"/>
      <c r="B9" s="1" t="b">
        <v>1</v>
      </c>
      <c r="C9" s="1" t="b">
        <v>1</v>
      </c>
      <c r="D9" s="204"/>
      <c r="E9" s="204"/>
      <c r="F9" s="204"/>
      <c r="G9" s="204"/>
      <c r="H9" s="40"/>
      <c r="I9" s="40"/>
      <c r="J9" s="2"/>
      <c r="K9" s="2"/>
      <c r="L9" s="2"/>
      <c r="M9" s="2"/>
    </row>
    <row r="10" spans="1:28" ht="16.5" customHeight="1" x14ac:dyDescent="0.3">
      <c r="A10" s="135"/>
      <c r="B10" s="1" t="b">
        <v>0</v>
      </c>
      <c r="C10" s="1" t="b">
        <v>1</v>
      </c>
      <c r="D10" s="47" t="s">
        <v>8</v>
      </c>
      <c r="E10" s="200" t="str">
        <f>IF($B$6,"Done","Not Done")</f>
        <v>Done</v>
      </c>
      <c r="F10" s="47" t="s">
        <v>9</v>
      </c>
      <c r="G10" s="200" t="str">
        <f>IF($C$6,"Done","Not Done")</f>
        <v>Done</v>
      </c>
      <c r="H10" s="40"/>
      <c r="I10" s="41"/>
    </row>
    <row r="11" spans="1:28" ht="18.75" customHeight="1" x14ac:dyDescent="0.3">
      <c r="A11" s="135"/>
      <c r="B11" s="1" t="b">
        <v>0</v>
      </c>
      <c r="C11" s="1" t="b">
        <v>1</v>
      </c>
      <c r="D11" s="48" t="s">
        <v>10</v>
      </c>
      <c r="E11" s="49" t="str">
        <f>IF($B$7,"Done","Not Done")</f>
        <v>Done</v>
      </c>
      <c r="F11" s="48" t="s">
        <v>11</v>
      </c>
      <c r="G11" s="49" t="str">
        <f>IF($C$7,"Done","Not Done")</f>
        <v>Done</v>
      </c>
      <c r="H11" s="40"/>
      <c r="I11" s="40"/>
      <c r="P11" s="3"/>
    </row>
    <row r="12" spans="1:28" ht="18.75" customHeight="1" x14ac:dyDescent="0.3">
      <c r="A12" s="136" t="s">
        <v>12</v>
      </c>
      <c r="B12" s="1" t="b">
        <v>0</v>
      </c>
      <c r="C12" s="1" t="b">
        <v>0</v>
      </c>
      <c r="D12" s="47" t="s">
        <v>35</v>
      </c>
      <c r="E12" s="186" t="str">
        <f>IF($B$8,"Done","Not Done")</f>
        <v>Done</v>
      </c>
      <c r="F12" s="47" t="s">
        <v>14</v>
      </c>
      <c r="G12" s="186" t="str">
        <f>IF($C$8,"Done","Not Done")</f>
        <v>Done</v>
      </c>
      <c r="H12" s="40"/>
      <c r="I12" s="41"/>
    </row>
    <row r="13" spans="1:28" ht="18.75" customHeight="1" x14ac:dyDescent="0.3">
      <c r="A13" s="136"/>
      <c r="B13" s="1" t="b">
        <v>0</v>
      </c>
      <c r="C13" s="1" t="b">
        <v>0</v>
      </c>
      <c r="D13" s="48" t="s">
        <v>15</v>
      </c>
      <c r="E13" s="201" t="str">
        <f>IF($B$9,"Done","Not Done")</f>
        <v>Done</v>
      </c>
      <c r="F13" s="48" t="s">
        <v>16</v>
      </c>
      <c r="G13" s="201" t="str">
        <f>IF($C$9,"Done","Not Done")</f>
        <v>Done</v>
      </c>
      <c r="H13" s="40"/>
      <c r="I13" s="41"/>
    </row>
    <row r="14" spans="1:28" ht="15" customHeight="1" x14ac:dyDescent="0.3">
      <c r="A14" s="135"/>
      <c r="B14" s="1" t="b">
        <v>0</v>
      </c>
      <c r="C14" s="1" t="b">
        <v>0</v>
      </c>
      <c r="D14" s="47" t="s">
        <v>93</v>
      </c>
      <c r="E14" s="186" t="str">
        <f>IF($B$10,"Done","Not Done")</f>
        <v>Not Done</v>
      </c>
      <c r="F14" s="47" t="s">
        <v>18</v>
      </c>
      <c r="G14" s="186" t="str">
        <f>IF($C$10,"Done","Not Done")</f>
        <v>Done</v>
      </c>
      <c r="H14" s="40"/>
      <c r="I14" s="41"/>
    </row>
    <row r="15" spans="1:28" ht="15" customHeight="1" x14ac:dyDescent="0.3">
      <c r="A15" s="135"/>
      <c r="C15" s="1" t="str">
        <f>""</f>
        <v/>
      </c>
      <c r="D15" s="48"/>
      <c r="E15" s="49" t="str">
        <f>IF($B$11,"Done","Not Done")</f>
        <v>Not Done</v>
      </c>
      <c r="F15" s="48" t="s">
        <v>20</v>
      </c>
      <c r="G15" s="49" t="str">
        <f>IF($C$11,"Done","Not Done")</f>
        <v>Done</v>
      </c>
      <c r="H15" s="40"/>
      <c r="I15" s="40"/>
    </row>
    <row r="16" spans="1:28" ht="15" customHeight="1" x14ac:dyDescent="0.3">
      <c r="A16" s="134" t="s">
        <v>21</v>
      </c>
      <c r="C16" s="1" t="str">
        <f>""</f>
        <v/>
      </c>
      <c r="D16" s="47"/>
      <c r="E16" s="50" t="str">
        <f>IF($B$12,"Done","Not Done")</f>
        <v>Not Done</v>
      </c>
      <c r="F16" s="47"/>
      <c r="G16" s="50" t="str">
        <f>IF($C$12,"Done","Not Done")</f>
        <v>Not Done</v>
      </c>
      <c r="H16" s="40"/>
      <c r="I16" s="52"/>
    </row>
    <row r="17" spans="1:9" ht="15" customHeight="1" x14ac:dyDescent="0.3">
      <c r="A17" s="134" t="s">
        <v>22</v>
      </c>
      <c r="C17" s="1" t="str">
        <f>""</f>
        <v/>
      </c>
      <c r="D17" s="48"/>
      <c r="E17" s="49" t="str">
        <f>IF($B$13,"Done","Not Done")</f>
        <v>Not Done</v>
      </c>
      <c r="F17" s="48"/>
      <c r="G17" s="49" t="str">
        <f>IF($C$13,"Done","Not Done")</f>
        <v>Not Done</v>
      </c>
      <c r="H17" s="40"/>
      <c r="I17" s="147"/>
    </row>
    <row r="18" spans="1:9" ht="18.75" x14ac:dyDescent="0.3">
      <c r="A18" s="135"/>
      <c r="C18" s="1" t="str">
        <f>""</f>
        <v/>
      </c>
      <c r="D18" s="47"/>
      <c r="E18" s="50" t="str">
        <f>IF($B$14,"Done","Not Done")</f>
        <v>Not Done</v>
      </c>
      <c r="F18" s="47"/>
      <c r="G18" s="50" t="str">
        <f>IF($C$14,"Done","Not Done")</f>
        <v>Not Done</v>
      </c>
      <c r="H18" s="40"/>
      <c r="I18" s="41"/>
    </row>
    <row r="19" spans="1:9" ht="15" customHeight="1" x14ac:dyDescent="0.25">
      <c r="A19" s="135"/>
      <c r="C19" s="1" t="str">
        <f>""</f>
        <v/>
      </c>
      <c r="D19" s="204" t="s">
        <v>23</v>
      </c>
      <c r="E19" s="204"/>
      <c r="F19" s="204" t="s">
        <v>24</v>
      </c>
      <c r="G19" s="204"/>
      <c r="H19" s="40"/>
      <c r="I19" s="40"/>
    </row>
    <row r="20" spans="1:9" ht="15" customHeight="1" x14ac:dyDescent="0.25">
      <c r="A20" s="134" t="s">
        <v>25</v>
      </c>
      <c r="C20" s="1" t="str">
        <f>""</f>
        <v/>
      </c>
      <c r="D20" s="204"/>
      <c r="E20" s="204"/>
      <c r="F20" s="204"/>
      <c r="G20" s="204"/>
      <c r="H20" s="40"/>
      <c r="I20" s="177"/>
    </row>
    <row r="21" spans="1:9" ht="37.5" customHeight="1" x14ac:dyDescent="0.3">
      <c r="A21" s="136" t="s">
        <v>26</v>
      </c>
      <c r="C21" s="1" t="str">
        <f>""</f>
        <v/>
      </c>
      <c r="D21" s="198" t="s">
        <v>395</v>
      </c>
      <c r="E21" s="196"/>
      <c r="F21" s="187" t="s">
        <v>352</v>
      </c>
      <c r="G21" s="160"/>
      <c r="H21" s="40"/>
      <c r="I21" s="179"/>
    </row>
    <row r="22" spans="1:9" ht="37.5" x14ac:dyDescent="0.3">
      <c r="A22" s="136"/>
      <c r="C22" s="1" t="str">
        <f>""</f>
        <v/>
      </c>
      <c r="D22" s="199" t="s">
        <v>396</v>
      </c>
      <c r="E22" s="192"/>
      <c r="F22" s="181" t="s">
        <v>342</v>
      </c>
      <c r="G22" s="166"/>
      <c r="H22" s="40"/>
      <c r="I22" s="178"/>
    </row>
    <row r="23" spans="1:9" ht="18.75" x14ac:dyDescent="0.3">
      <c r="A23" s="135"/>
      <c r="C23" s="1" t="str">
        <f>""</f>
        <v/>
      </c>
      <c r="D23" s="190"/>
      <c r="E23" s="191"/>
      <c r="F23" s="180" t="s">
        <v>386</v>
      </c>
      <c r="G23" s="167"/>
      <c r="H23" s="41"/>
      <c r="I23" s="178"/>
    </row>
    <row r="24" spans="1:9" ht="18.75" x14ac:dyDescent="0.3">
      <c r="A24" s="135"/>
      <c r="C24" s="1" t="str">
        <f>""</f>
        <v/>
      </c>
      <c r="D24" s="193"/>
      <c r="E24" s="194"/>
      <c r="F24" s="165"/>
      <c r="G24" s="168"/>
      <c r="H24" s="41"/>
      <c r="I24" s="41"/>
    </row>
    <row r="25" spans="1:9" ht="21" x14ac:dyDescent="0.35">
      <c r="A25" s="137"/>
      <c r="C25" s="1" t="str">
        <f>""</f>
        <v/>
      </c>
      <c r="D25" s="189"/>
      <c r="E25" s="157"/>
      <c r="F25" s="172"/>
      <c r="G25" s="155"/>
      <c r="H25" s="41"/>
      <c r="I25" s="41"/>
    </row>
    <row r="26" spans="1:9" ht="18.75" x14ac:dyDescent="0.3">
      <c r="A26" s="137"/>
      <c r="C26" s="1" t="str">
        <f>""</f>
        <v/>
      </c>
      <c r="D26" s="148"/>
      <c r="E26" s="158"/>
      <c r="F26" s="148"/>
      <c r="G26" s="169"/>
      <c r="H26" s="41"/>
      <c r="I26" s="41"/>
    </row>
    <row r="27" spans="1:9" ht="18.75" x14ac:dyDescent="0.3">
      <c r="A27" s="137"/>
      <c r="C27" s="1" t="str">
        <f>""</f>
        <v/>
      </c>
      <c r="D27" s="149"/>
      <c r="E27" s="159"/>
      <c r="F27" s="149"/>
      <c r="G27" s="159"/>
      <c r="H27" s="41"/>
      <c r="I27" s="41"/>
    </row>
    <row r="28" spans="1:9" ht="15" customHeight="1" x14ac:dyDescent="0.3">
      <c r="A28" s="137"/>
      <c r="C28" s="1" t="str">
        <f>""</f>
        <v/>
      </c>
      <c r="D28" s="148"/>
      <c r="E28" s="154"/>
      <c r="F28" s="148"/>
      <c r="G28" s="154"/>
      <c r="H28" s="41"/>
      <c r="I28" s="41"/>
    </row>
    <row r="29" spans="1:9" ht="15" customHeight="1" x14ac:dyDescent="0.3">
      <c r="A29" s="137"/>
      <c r="C29" s="1" t="str">
        <f>""</f>
        <v/>
      </c>
      <c r="D29" s="149"/>
      <c r="E29" s="160"/>
      <c r="F29" s="149"/>
      <c r="G29" s="160"/>
      <c r="H29" s="41"/>
      <c r="I29" s="41"/>
    </row>
    <row r="30" spans="1:9" ht="15" customHeight="1" x14ac:dyDescent="0.65">
      <c r="A30" s="138" t="s">
        <v>27</v>
      </c>
      <c r="C30" s="1" t="str">
        <f>""</f>
        <v/>
      </c>
      <c r="D30" s="150"/>
      <c r="E30" s="161"/>
      <c r="F30" s="150"/>
      <c r="G30" s="161"/>
      <c r="H30" s="41"/>
      <c r="I30" s="41"/>
    </row>
    <row r="31" spans="1:9" ht="15" customHeight="1" x14ac:dyDescent="0.65">
      <c r="A31" s="138" t="s">
        <v>28</v>
      </c>
      <c r="C31" s="1" t="str">
        <f>""</f>
        <v/>
      </c>
      <c r="D31" s="151"/>
      <c r="E31" s="163"/>
      <c r="F31" s="173"/>
      <c r="G31" s="162"/>
    </row>
    <row r="32" spans="1:9" ht="18.75" x14ac:dyDescent="0.25">
      <c r="A32" s="137"/>
      <c r="C32" s="1" t="str">
        <f>""</f>
        <v/>
      </c>
      <c r="D32" s="152"/>
      <c r="E32" s="156"/>
      <c r="F32" s="152"/>
      <c r="G32" s="170"/>
    </row>
    <row r="33" spans="3:7" ht="18.75" x14ac:dyDescent="0.25">
      <c r="C33" s="1" t="str">
        <f>""</f>
        <v/>
      </c>
      <c r="D33" s="153"/>
      <c r="E33" s="164"/>
      <c r="F33" s="153"/>
      <c r="G33" s="171"/>
    </row>
    <row r="34" spans="3:7" ht="15" customHeight="1" x14ac:dyDescent="0.25">
      <c r="D34" s="58"/>
      <c r="F34" s="58"/>
      <c r="G34" s="60"/>
    </row>
    <row r="35" spans="3:7" ht="15" customHeight="1" x14ac:dyDescent="0.25">
      <c r="D35" s="59"/>
      <c r="E35" s="61"/>
      <c r="F35" s="59"/>
      <c r="G35" s="61"/>
    </row>
    <row r="36" spans="3:7" ht="18.75" x14ac:dyDescent="0.25">
      <c r="D36" s="37"/>
      <c r="E36" s="52"/>
      <c r="F36" s="37"/>
      <c r="G36" s="52"/>
    </row>
    <row r="37" spans="3:7" ht="18.75" x14ac:dyDescent="0.25">
      <c r="D37" s="38"/>
      <c r="E37" s="38"/>
      <c r="F37" s="38"/>
      <c r="G37" s="38"/>
    </row>
    <row r="38" spans="3:7" ht="18.75" x14ac:dyDescent="0.25">
      <c r="D38" s="37"/>
      <c r="E38" s="52"/>
      <c r="F38" s="37"/>
      <c r="G38" s="52"/>
    </row>
    <row r="39" spans="3:7" ht="18.75" x14ac:dyDescent="0.25">
      <c r="D39" s="38"/>
      <c r="E39" s="38"/>
      <c r="F39" s="38"/>
      <c r="G39" s="38"/>
    </row>
    <row r="40" spans="3:7" ht="18.75" x14ac:dyDescent="0.25">
      <c r="D40" s="37"/>
      <c r="E40" s="37"/>
      <c r="F40" s="37"/>
      <c r="G40" s="37"/>
    </row>
    <row r="41" spans="3:7" ht="18.75" x14ac:dyDescent="0.25">
      <c r="D41" s="38"/>
      <c r="E41" s="38"/>
      <c r="F41" s="38"/>
      <c r="G41" s="38"/>
    </row>
    <row r="42" spans="3:7" ht="18.75" x14ac:dyDescent="0.25">
      <c r="D42" s="37"/>
      <c r="E42" s="37"/>
      <c r="F42" s="37"/>
      <c r="G42" s="37"/>
    </row>
    <row r="43" spans="3:7" ht="18.75" x14ac:dyDescent="0.25">
      <c r="D43" s="38"/>
      <c r="E43" s="38"/>
      <c r="F43" s="38"/>
      <c r="G43" s="38"/>
    </row>
    <row r="44" spans="3:7" ht="18.75" x14ac:dyDescent="0.25">
      <c r="D44" s="37"/>
      <c r="E44" s="37"/>
      <c r="F44" s="37"/>
      <c r="G44" s="37"/>
    </row>
    <row r="45" spans="3:7" ht="18.75" x14ac:dyDescent="0.25">
      <c r="D45" s="38"/>
      <c r="E45" s="38"/>
      <c r="F45" s="38"/>
      <c r="G45" s="38"/>
    </row>
    <row r="46" spans="3:7" ht="18.75" x14ac:dyDescent="0.25">
      <c r="D46" s="37"/>
      <c r="E46" s="37"/>
      <c r="F46" s="37"/>
      <c r="G46" s="37"/>
    </row>
    <row r="47" spans="3:7" ht="18.75" x14ac:dyDescent="0.25">
      <c r="D47" s="38"/>
      <c r="E47" s="38"/>
      <c r="F47" s="38"/>
      <c r="G47" s="38"/>
    </row>
    <row r="48" spans="3:7" ht="18.75" x14ac:dyDescent="0.3">
      <c r="D48" s="53"/>
      <c r="E48" s="53"/>
      <c r="F48" s="53"/>
      <c r="G48" s="53"/>
    </row>
  </sheetData>
  <mergeCells count="10">
    <mergeCell ref="V4:AB5"/>
    <mergeCell ref="D8:G9"/>
    <mergeCell ref="D19:E20"/>
    <mergeCell ref="F19:G20"/>
    <mergeCell ref="G2:G4"/>
    <mergeCell ref="G5:G6"/>
    <mergeCell ref="D2:D4"/>
    <mergeCell ref="E2:F4"/>
    <mergeCell ref="E5:F6"/>
    <mergeCell ref="D5:D6"/>
  </mergeCells>
  <dataValidations count="2">
    <dataValidation type="list" allowBlank="1" showInputMessage="1" showErrorMessage="1" sqref="F7 D7 E5:F6" xr:uid="{8F043939-5836-474D-9C5F-417A9BDA86C7}">
      <formula1>"Morning,Evening,Night,Friday,Saturday"</formula1>
    </dataValidation>
    <dataValidation type="list" allowBlank="1" showInputMessage="1" showErrorMessage="1" sqref="D5:D6" xr:uid="{812703AE-007B-42B4-9773-1B795B792E80}">
      <formula1>"Daniel,Asaf,Shalom,Shaked"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ltText="בוצע">
                <anchor moveWithCells="1">
                  <from>
                    <xdr:col>3</xdr:col>
                    <xdr:colOff>4171950</xdr:colOff>
                    <xdr:row>9</xdr:row>
                    <xdr:rowOff>9525</xdr:rowOff>
                  </from>
                  <to>
                    <xdr:col>4</xdr:col>
                    <xdr:colOff>47625</xdr:colOff>
                    <xdr:row>10</xdr:row>
                    <xdr:rowOff>19050</xdr:rowOff>
                  </to>
                </anchor>
              </controlPr>
            </control>
          </mc:Choice>
        </mc:AlternateContent>
        <mc:AlternateContent xmlns:mc="http://schemas.openxmlformats.org/markup-compatibility/2006">
          <mc:Choice Requires="x14">
            <control shapeId="1034" r:id="rId5" name="Check Box 10">
              <controlPr defaultSize="0" autoFill="0" autoLine="0" autoPict="0">
                <anchor moveWithCells="1">
                  <from>
                    <xdr:col>3</xdr:col>
                    <xdr:colOff>4171950</xdr:colOff>
                    <xdr:row>10</xdr:row>
                    <xdr:rowOff>19050</xdr:rowOff>
                  </from>
                  <to>
                    <xdr:col>4</xdr:col>
                    <xdr:colOff>76200</xdr:colOff>
                    <xdr:row>11</xdr:row>
                    <xdr:rowOff>0</xdr:rowOff>
                  </to>
                </anchor>
              </controlPr>
            </control>
          </mc:Choice>
        </mc:AlternateContent>
        <mc:AlternateContent xmlns:mc="http://schemas.openxmlformats.org/markup-compatibility/2006">
          <mc:Choice Requires="x14">
            <control shapeId="1035" r:id="rId6" name="Check Box 11">
              <controlPr defaultSize="0" autoFill="0" autoLine="0" autoPict="0">
                <anchor moveWithCells="1">
                  <from>
                    <xdr:col>3</xdr:col>
                    <xdr:colOff>4171950</xdr:colOff>
                    <xdr:row>11</xdr:row>
                    <xdr:rowOff>28575</xdr:rowOff>
                  </from>
                  <to>
                    <xdr:col>4</xdr:col>
                    <xdr:colOff>85725</xdr:colOff>
                    <xdr:row>12</xdr:row>
                    <xdr:rowOff>9525</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3</xdr:col>
                    <xdr:colOff>4171950</xdr:colOff>
                    <xdr:row>12</xdr:row>
                    <xdr:rowOff>19050</xdr:rowOff>
                  </from>
                  <to>
                    <xdr:col>4</xdr:col>
                    <xdr:colOff>104775</xdr:colOff>
                    <xdr:row>13</xdr:row>
                    <xdr:rowOff>0</xdr:rowOff>
                  </to>
                </anchor>
              </controlPr>
            </control>
          </mc:Choice>
        </mc:AlternateContent>
        <mc:AlternateContent xmlns:mc="http://schemas.openxmlformats.org/markup-compatibility/2006">
          <mc:Choice Requires="x14">
            <control shapeId="1037" r:id="rId8" name="Check Box 13">
              <controlPr defaultSize="0" autoFill="0" autoLine="0" autoPict="0">
                <anchor moveWithCells="1">
                  <from>
                    <xdr:col>3</xdr:col>
                    <xdr:colOff>4171950</xdr:colOff>
                    <xdr:row>12</xdr:row>
                    <xdr:rowOff>228600</xdr:rowOff>
                  </from>
                  <to>
                    <xdr:col>4</xdr:col>
                    <xdr:colOff>114300</xdr:colOff>
                    <xdr:row>14</xdr:row>
                    <xdr:rowOff>19050</xdr:rowOff>
                  </to>
                </anchor>
              </controlPr>
            </control>
          </mc:Choice>
        </mc:AlternateContent>
        <mc:AlternateContent xmlns:mc="http://schemas.openxmlformats.org/markup-compatibility/2006">
          <mc:Choice Requires="x14">
            <control shapeId="1043" r:id="rId9" name="Check Box 19">
              <controlPr defaultSize="0" autoFill="0" autoLine="0" autoPict="0" altText="בוצע">
                <anchor moveWithCells="1">
                  <from>
                    <xdr:col>3</xdr:col>
                    <xdr:colOff>4171950</xdr:colOff>
                    <xdr:row>13</xdr:row>
                    <xdr:rowOff>180975</xdr:rowOff>
                  </from>
                  <to>
                    <xdr:col>4</xdr:col>
                    <xdr:colOff>57150</xdr:colOff>
                    <xdr:row>15</xdr:row>
                    <xdr:rowOff>19050</xdr:rowOff>
                  </to>
                </anchor>
              </controlPr>
            </control>
          </mc:Choice>
        </mc:AlternateContent>
        <mc:AlternateContent xmlns:mc="http://schemas.openxmlformats.org/markup-compatibility/2006">
          <mc:Choice Requires="x14">
            <control shapeId="1044" r:id="rId10" name="Check Box 20">
              <controlPr defaultSize="0" autoFill="0" autoLine="0" autoPict="0" altText="בוצע">
                <anchor moveWithCells="1">
                  <from>
                    <xdr:col>3</xdr:col>
                    <xdr:colOff>4171950</xdr:colOff>
                    <xdr:row>15</xdr:row>
                    <xdr:rowOff>9525</xdr:rowOff>
                  </from>
                  <to>
                    <xdr:col>4</xdr:col>
                    <xdr:colOff>47625</xdr:colOff>
                    <xdr:row>16</xdr:row>
                    <xdr:rowOff>38100</xdr:rowOff>
                  </to>
                </anchor>
              </controlPr>
            </control>
          </mc:Choice>
        </mc:AlternateContent>
        <mc:AlternateContent xmlns:mc="http://schemas.openxmlformats.org/markup-compatibility/2006">
          <mc:Choice Requires="x14">
            <control shapeId="1045" r:id="rId11" name="Check Box 21">
              <controlPr defaultSize="0" autoFill="0" autoLine="0" autoPict="0" altText="בוצע">
                <anchor moveWithCells="1">
                  <from>
                    <xdr:col>3</xdr:col>
                    <xdr:colOff>4171950</xdr:colOff>
                    <xdr:row>16</xdr:row>
                    <xdr:rowOff>9525</xdr:rowOff>
                  </from>
                  <to>
                    <xdr:col>4</xdr:col>
                    <xdr:colOff>57150</xdr:colOff>
                    <xdr:row>17</xdr:row>
                    <xdr:rowOff>38100</xdr:rowOff>
                  </to>
                </anchor>
              </controlPr>
            </control>
          </mc:Choice>
        </mc:AlternateContent>
        <mc:AlternateContent xmlns:mc="http://schemas.openxmlformats.org/markup-compatibility/2006">
          <mc:Choice Requires="x14">
            <control shapeId="1046" r:id="rId12" name="Check Box 22">
              <controlPr defaultSize="0" autoFill="0" autoLine="0" autoPict="0" altText="בוצע">
                <anchor moveWithCells="1">
                  <from>
                    <xdr:col>3</xdr:col>
                    <xdr:colOff>4171950</xdr:colOff>
                    <xdr:row>17</xdr:row>
                    <xdr:rowOff>0</xdr:rowOff>
                  </from>
                  <to>
                    <xdr:col>4</xdr:col>
                    <xdr:colOff>57150</xdr:colOff>
                    <xdr:row>17</xdr:row>
                    <xdr:rowOff>219075</xdr:rowOff>
                  </to>
                </anchor>
              </controlPr>
            </control>
          </mc:Choice>
        </mc:AlternateContent>
        <mc:AlternateContent xmlns:mc="http://schemas.openxmlformats.org/markup-compatibility/2006">
          <mc:Choice Requires="x14">
            <control shapeId="1059" r:id="rId13" name="Check Box 35">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60" r:id="rId14" name="Check Box 36">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61" r:id="rId15" name="Check Box 37">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62" r:id="rId16" name="Check Box 38">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63" r:id="rId17" name="Check Box 39">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64" r:id="rId18" name="Check Box 40">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65" r:id="rId19" name="Check Box 41">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66" r:id="rId20" name="Check Box 42">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67" r:id="rId21" name="Check Box 43">
              <controlPr defaultSize="0" autoFill="0" autoLine="0" autoPict="0" altText="בוצע">
                <anchor moveWithCells="1">
                  <from>
                    <xdr:col>5</xdr:col>
                    <xdr:colOff>4171950</xdr:colOff>
                    <xdr:row>17</xdr:row>
                    <xdr:rowOff>0</xdr:rowOff>
                  </from>
                  <to>
                    <xdr:col>6</xdr:col>
                    <xdr:colOff>304800</xdr:colOff>
                    <xdr:row>17</xdr:row>
                    <xdr:rowOff>219075</xdr:rowOff>
                  </to>
                </anchor>
              </controlPr>
            </control>
          </mc:Choice>
        </mc:AlternateContent>
        <mc:AlternateContent xmlns:mc="http://schemas.openxmlformats.org/markup-compatibility/2006">
          <mc:Choice Requires="x14">
            <control shapeId="1068" r:id="rId22" name="Check Box 44">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69" r:id="rId23" name="Check Box 45">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70" r:id="rId24" name="Check Box 46">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71" r:id="rId25" name="Check Box 47">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72" r:id="rId26" name="Check Box 48">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73" r:id="rId27" name="Check Box 49">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74" r:id="rId28" name="Check Box 50">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75" r:id="rId29" name="Check Box 51">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76" r:id="rId30" name="Check Box 52">
              <controlPr defaultSize="0" autoFill="0" autoLine="0" autoPict="0" altText="בוצע">
                <anchor moveWithCells="1">
                  <from>
                    <xdr:col>5</xdr:col>
                    <xdr:colOff>4171950</xdr:colOff>
                    <xdr:row>17</xdr:row>
                    <xdr:rowOff>0</xdr:rowOff>
                  </from>
                  <to>
                    <xdr:col>6</xdr:col>
                    <xdr:colOff>314325</xdr:colOff>
                    <xdr:row>17</xdr:row>
                    <xdr:rowOff>219075</xdr:rowOff>
                  </to>
                </anchor>
              </controlPr>
            </control>
          </mc:Choice>
        </mc:AlternateContent>
        <mc:AlternateContent xmlns:mc="http://schemas.openxmlformats.org/markup-compatibility/2006">
          <mc:Choice Requires="x14">
            <control shapeId="1077" r:id="rId31" name="Check Box 53">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78" r:id="rId32" name="Check Box 54">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79" r:id="rId33" name="Check Box 55">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80" r:id="rId34" name="Check Box 56">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81" r:id="rId35" name="Check Box 57">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82" r:id="rId36" name="Check Box 58">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83" r:id="rId37" name="Check Box 59">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84" r:id="rId38" name="Check Box 60">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85" r:id="rId39" name="Check Box 61">
              <controlPr defaultSize="0" autoFill="0" autoLine="0" autoPict="0" altText="בוצע">
                <anchor moveWithCells="1">
                  <from>
                    <xdr:col>5</xdr:col>
                    <xdr:colOff>4171950</xdr:colOff>
                    <xdr:row>17</xdr:row>
                    <xdr:rowOff>0</xdr:rowOff>
                  </from>
                  <to>
                    <xdr:col>6</xdr:col>
                    <xdr:colOff>314325</xdr:colOff>
                    <xdr:row>17</xdr:row>
                    <xdr:rowOff>219075</xdr:rowOff>
                  </to>
                </anchor>
              </controlPr>
            </control>
          </mc:Choice>
        </mc:AlternateContent>
        <mc:AlternateContent xmlns:mc="http://schemas.openxmlformats.org/markup-compatibility/2006">
          <mc:Choice Requires="x14">
            <control shapeId="1086" r:id="rId40" name="Check Box 62">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87" r:id="rId41" name="Check Box 63">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88" r:id="rId42" name="Check Box 64">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89" r:id="rId43" name="Check Box 65">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90" r:id="rId44" name="Check Box 66">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091" r:id="rId45" name="Check Box 67">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092" r:id="rId46" name="Check Box 68">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093" r:id="rId47" name="Check Box 69">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094" r:id="rId48" name="Check Box 70">
              <controlPr defaultSize="0" autoFill="0" autoLine="0" autoPict="0" altText="בוצע">
                <anchor moveWithCells="1">
                  <from>
                    <xdr:col>5</xdr:col>
                    <xdr:colOff>4171950</xdr:colOff>
                    <xdr:row>17</xdr:row>
                    <xdr:rowOff>0</xdr:rowOff>
                  </from>
                  <to>
                    <xdr:col>6</xdr:col>
                    <xdr:colOff>314325</xdr:colOff>
                    <xdr:row>17</xdr:row>
                    <xdr:rowOff>219075</xdr:rowOff>
                  </to>
                </anchor>
              </controlPr>
            </control>
          </mc:Choice>
        </mc:AlternateContent>
        <mc:AlternateContent xmlns:mc="http://schemas.openxmlformats.org/markup-compatibility/2006">
          <mc:Choice Requires="x14">
            <control shapeId="1095" r:id="rId49" name="Check Box 71">
              <controlPr defaultSize="0" autoFill="0" autoLine="0" autoPict="0" altText="בוצע">
                <anchor moveWithCells="1">
                  <from>
                    <xdr:col>5</xdr:col>
                    <xdr:colOff>4171950</xdr:colOff>
                    <xdr:row>9</xdr:row>
                    <xdr:rowOff>9525</xdr:rowOff>
                  </from>
                  <to>
                    <xdr:col>6</xdr:col>
                    <xdr:colOff>304800</xdr:colOff>
                    <xdr:row>10</xdr:row>
                    <xdr:rowOff>19050</xdr:rowOff>
                  </to>
                </anchor>
              </controlPr>
            </control>
          </mc:Choice>
        </mc:AlternateContent>
        <mc:AlternateContent xmlns:mc="http://schemas.openxmlformats.org/markup-compatibility/2006">
          <mc:Choice Requires="x14">
            <control shapeId="1096" r:id="rId50" name="Check Box 72">
              <controlPr defaultSize="0" autoFill="0" autoLine="0" autoPict="0">
                <anchor moveWithCells="1">
                  <from>
                    <xdr:col>5</xdr:col>
                    <xdr:colOff>4171950</xdr:colOff>
                    <xdr:row>10</xdr:row>
                    <xdr:rowOff>19050</xdr:rowOff>
                  </from>
                  <to>
                    <xdr:col>6</xdr:col>
                    <xdr:colOff>333375</xdr:colOff>
                    <xdr:row>11</xdr:row>
                    <xdr:rowOff>0</xdr:rowOff>
                  </to>
                </anchor>
              </controlPr>
            </control>
          </mc:Choice>
        </mc:AlternateContent>
        <mc:AlternateContent xmlns:mc="http://schemas.openxmlformats.org/markup-compatibility/2006">
          <mc:Choice Requires="x14">
            <control shapeId="1097" r:id="rId51" name="Check Box 73">
              <controlPr defaultSize="0" autoFill="0" autoLine="0" autoPict="0">
                <anchor moveWithCells="1">
                  <from>
                    <xdr:col>5</xdr:col>
                    <xdr:colOff>4171950</xdr:colOff>
                    <xdr:row>11</xdr:row>
                    <xdr:rowOff>28575</xdr:rowOff>
                  </from>
                  <to>
                    <xdr:col>6</xdr:col>
                    <xdr:colOff>342900</xdr:colOff>
                    <xdr:row>12</xdr:row>
                    <xdr:rowOff>9525</xdr:rowOff>
                  </to>
                </anchor>
              </controlPr>
            </control>
          </mc:Choice>
        </mc:AlternateContent>
        <mc:AlternateContent xmlns:mc="http://schemas.openxmlformats.org/markup-compatibility/2006">
          <mc:Choice Requires="x14">
            <control shapeId="1098" r:id="rId52" name="Check Box 74">
              <controlPr defaultSize="0" autoFill="0" autoLine="0" autoPict="0">
                <anchor moveWithCells="1">
                  <from>
                    <xdr:col>5</xdr:col>
                    <xdr:colOff>4171950</xdr:colOff>
                    <xdr:row>12</xdr:row>
                    <xdr:rowOff>19050</xdr:rowOff>
                  </from>
                  <to>
                    <xdr:col>6</xdr:col>
                    <xdr:colOff>361950</xdr:colOff>
                    <xdr:row>13</xdr:row>
                    <xdr:rowOff>0</xdr:rowOff>
                  </to>
                </anchor>
              </controlPr>
            </control>
          </mc:Choice>
        </mc:AlternateContent>
        <mc:AlternateContent xmlns:mc="http://schemas.openxmlformats.org/markup-compatibility/2006">
          <mc:Choice Requires="x14">
            <control shapeId="1099" r:id="rId53" name="Check Box 75">
              <controlPr defaultSize="0" autoFill="0" autoLine="0" autoPict="0">
                <anchor moveWithCells="1">
                  <from>
                    <xdr:col>5</xdr:col>
                    <xdr:colOff>4171950</xdr:colOff>
                    <xdr:row>12</xdr:row>
                    <xdr:rowOff>228600</xdr:rowOff>
                  </from>
                  <to>
                    <xdr:col>6</xdr:col>
                    <xdr:colOff>371475</xdr:colOff>
                    <xdr:row>14</xdr:row>
                    <xdr:rowOff>19050</xdr:rowOff>
                  </to>
                </anchor>
              </controlPr>
            </control>
          </mc:Choice>
        </mc:AlternateContent>
        <mc:AlternateContent xmlns:mc="http://schemas.openxmlformats.org/markup-compatibility/2006">
          <mc:Choice Requires="x14">
            <control shapeId="1100" r:id="rId54" name="Check Box 76">
              <controlPr defaultSize="0" autoFill="0" autoLine="0" autoPict="0" altText="בוצע">
                <anchor moveWithCells="1">
                  <from>
                    <xdr:col>5</xdr:col>
                    <xdr:colOff>4171950</xdr:colOff>
                    <xdr:row>13</xdr:row>
                    <xdr:rowOff>180975</xdr:rowOff>
                  </from>
                  <to>
                    <xdr:col>6</xdr:col>
                    <xdr:colOff>314325</xdr:colOff>
                    <xdr:row>15</xdr:row>
                    <xdr:rowOff>19050</xdr:rowOff>
                  </to>
                </anchor>
              </controlPr>
            </control>
          </mc:Choice>
        </mc:AlternateContent>
        <mc:AlternateContent xmlns:mc="http://schemas.openxmlformats.org/markup-compatibility/2006">
          <mc:Choice Requires="x14">
            <control shapeId="1101" r:id="rId55" name="Check Box 77">
              <controlPr defaultSize="0" autoFill="0" autoLine="0" autoPict="0" altText="בוצע">
                <anchor moveWithCells="1">
                  <from>
                    <xdr:col>5</xdr:col>
                    <xdr:colOff>4171950</xdr:colOff>
                    <xdr:row>15</xdr:row>
                    <xdr:rowOff>9525</xdr:rowOff>
                  </from>
                  <to>
                    <xdr:col>6</xdr:col>
                    <xdr:colOff>304800</xdr:colOff>
                    <xdr:row>16</xdr:row>
                    <xdr:rowOff>38100</xdr:rowOff>
                  </to>
                </anchor>
              </controlPr>
            </control>
          </mc:Choice>
        </mc:AlternateContent>
        <mc:AlternateContent xmlns:mc="http://schemas.openxmlformats.org/markup-compatibility/2006">
          <mc:Choice Requires="x14">
            <control shapeId="1102" r:id="rId56" name="Check Box 78">
              <controlPr defaultSize="0" autoFill="0" autoLine="0" autoPict="0" altText="בוצע">
                <anchor moveWithCells="1">
                  <from>
                    <xdr:col>5</xdr:col>
                    <xdr:colOff>4171950</xdr:colOff>
                    <xdr:row>16</xdr:row>
                    <xdr:rowOff>9525</xdr:rowOff>
                  </from>
                  <to>
                    <xdr:col>6</xdr:col>
                    <xdr:colOff>314325</xdr:colOff>
                    <xdr:row>17</xdr:row>
                    <xdr:rowOff>38100</xdr:rowOff>
                  </to>
                </anchor>
              </controlPr>
            </control>
          </mc:Choice>
        </mc:AlternateContent>
        <mc:AlternateContent xmlns:mc="http://schemas.openxmlformats.org/markup-compatibility/2006">
          <mc:Choice Requires="x14">
            <control shapeId="1103" r:id="rId57" name="Check Box 79">
              <controlPr defaultSize="0" autoFill="0" autoLine="0" autoPict="0" altText="בוצע">
                <anchor moveWithCells="1">
                  <from>
                    <xdr:col>5</xdr:col>
                    <xdr:colOff>4171950</xdr:colOff>
                    <xdr:row>17</xdr:row>
                    <xdr:rowOff>0</xdr:rowOff>
                  </from>
                  <to>
                    <xdr:col>6</xdr:col>
                    <xdr:colOff>304800</xdr:colOff>
                    <xdr:row>17</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80DB-D948-4312-82D8-DEA1037D803D}">
  <sheetPr codeName="Sheet2"/>
  <dimension ref="A1:CM82"/>
  <sheetViews>
    <sheetView rightToLeft="1" topLeftCell="A61" zoomScale="70" zoomScaleNormal="70" workbookViewId="0">
      <selection activeCell="C70" sqref="C70"/>
    </sheetView>
  </sheetViews>
  <sheetFormatPr defaultColWidth="9.140625" defaultRowHeight="15" x14ac:dyDescent="0.25"/>
  <cols>
    <col min="1" max="1" width="16" style="5" customWidth="1"/>
    <col min="2" max="2" width="8.42578125" style="5" bestFit="1" customWidth="1"/>
    <col min="3" max="3" width="7.5703125" style="5" bestFit="1" customWidth="1"/>
    <col min="4" max="4" width="41" style="5" bestFit="1" customWidth="1"/>
    <col min="5" max="5" width="38.85546875" style="5" bestFit="1" customWidth="1"/>
    <col min="6" max="6" width="11.140625" style="5" bestFit="1" customWidth="1"/>
    <col min="7" max="7" width="20.7109375" style="5" bestFit="1" customWidth="1"/>
    <col min="8" max="8" width="15" style="5" bestFit="1" customWidth="1"/>
    <col min="9" max="9" width="36.5703125" style="5" bestFit="1" customWidth="1"/>
    <col min="10" max="10" width="16.28515625" style="5" bestFit="1" customWidth="1"/>
    <col min="11" max="11" width="10" style="5" bestFit="1" customWidth="1"/>
    <col min="12" max="12" width="16.28515625" style="5" bestFit="1" customWidth="1"/>
    <col min="13" max="13" width="35.140625" style="5" bestFit="1" customWidth="1"/>
    <col min="14" max="14" width="36.42578125" style="5" bestFit="1" customWidth="1"/>
    <col min="15" max="15" width="25.5703125" style="5" bestFit="1" customWidth="1"/>
    <col min="16" max="16" width="33.28515625" style="5" bestFit="1" customWidth="1"/>
    <col min="17" max="17" width="30.28515625" style="5" bestFit="1" customWidth="1"/>
    <col min="18" max="18" width="29.28515625" style="5" bestFit="1" customWidth="1"/>
    <col min="19" max="21" width="9.140625" style="5"/>
    <col min="22" max="22" width="93.140625" style="5" bestFit="1" customWidth="1"/>
    <col min="23" max="23" width="51.85546875" style="5" customWidth="1"/>
    <col min="24" max="24" width="37.85546875" style="5" customWidth="1"/>
    <col min="25" max="25" width="9" style="5" bestFit="1" customWidth="1"/>
    <col min="26" max="33" width="9.140625" style="5"/>
    <col min="34" max="34" width="5.85546875" style="5" bestFit="1" customWidth="1"/>
    <col min="35" max="38" width="8.5703125" style="5" bestFit="1" customWidth="1"/>
    <col min="39" max="45" width="9.140625" style="5"/>
    <col min="46" max="46" width="12.28515625" style="5" bestFit="1" customWidth="1"/>
    <col min="47" max="47" width="10.5703125" style="5" bestFit="1" customWidth="1"/>
    <col min="48" max="48" width="77.5703125" style="5" bestFit="1" customWidth="1"/>
    <col min="49" max="49" width="5.85546875" style="5" bestFit="1" customWidth="1"/>
    <col min="50" max="50" width="9.140625" style="5"/>
    <col min="51" max="51" width="8.5703125" style="5" bestFit="1" customWidth="1"/>
    <col min="52" max="53" width="9.140625" style="5"/>
    <col min="54" max="54" width="6.42578125" style="5" bestFit="1" customWidth="1"/>
    <col min="55" max="60" width="9.140625" style="5"/>
    <col min="61" max="61" width="4.42578125" style="5" bestFit="1" customWidth="1"/>
    <col min="62" max="62" width="5.28515625" style="5" bestFit="1" customWidth="1"/>
    <col min="63" max="63" width="4.85546875" style="5" bestFit="1" customWidth="1"/>
    <col min="64" max="72" width="9.140625" style="5"/>
    <col min="73" max="73" width="5.140625" style="5" bestFit="1" customWidth="1"/>
    <col min="74" max="91" width="6.42578125" style="5" bestFit="1" customWidth="1"/>
    <col min="92" max="16384" width="9.140625" style="5"/>
  </cols>
  <sheetData>
    <row r="1" spans="1:91" x14ac:dyDescent="0.25">
      <c r="A1" s="5" t="s">
        <v>3</v>
      </c>
      <c r="B1" s="5" t="s">
        <v>2</v>
      </c>
      <c r="C1" s="5" t="s">
        <v>29</v>
      </c>
      <c r="D1" s="5" t="s">
        <v>30</v>
      </c>
      <c r="E1" s="5" t="s">
        <v>31</v>
      </c>
      <c r="F1" s="5" t="s">
        <v>32</v>
      </c>
      <c r="G1" s="5" t="s">
        <v>33</v>
      </c>
    </row>
    <row r="2" spans="1:91" x14ac:dyDescent="0.25">
      <c r="A2" s="188">
        <v>45712</v>
      </c>
      <c r="B2" s="5" t="s">
        <v>6</v>
      </c>
      <c r="C2" s="5" t="s">
        <v>34</v>
      </c>
      <c r="D2" s="5" t="s">
        <v>8</v>
      </c>
      <c r="E2" s="5" t="s">
        <v>10</v>
      </c>
      <c r="F2" s="5" t="s">
        <v>35</v>
      </c>
      <c r="G2" s="5" t="s">
        <v>15</v>
      </c>
      <c r="H2" s="5" t="s">
        <v>36</v>
      </c>
      <c r="I2" s="5" t="s">
        <v>37</v>
      </c>
      <c r="J2" s="5" t="s">
        <v>38</v>
      </c>
      <c r="K2" s="5" t="s">
        <v>39</v>
      </c>
      <c r="L2" s="5" t="s">
        <v>40</v>
      </c>
      <c r="M2" s="5" t="s">
        <v>9</v>
      </c>
      <c r="N2" s="5" t="s">
        <v>11</v>
      </c>
      <c r="O2" s="5" t="s">
        <v>14</v>
      </c>
      <c r="P2" s="5" t="s">
        <v>16</v>
      </c>
      <c r="Q2" s="5" t="s">
        <v>18</v>
      </c>
      <c r="R2" s="5" t="s">
        <v>20</v>
      </c>
      <c r="V2" s="5" t="s">
        <v>41</v>
      </c>
      <c r="AJ2" s="5" t="s">
        <v>42</v>
      </c>
      <c r="AW2" s="5" t="s">
        <v>41</v>
      </c>
      <c r="BI2" s="5" t="s">
        <v>43</v>
      </c>
      <c r="BV2" s="5" t="b">
        <v>0</v>
      </c>
      <c r="BW2" s="5" t="b">
        <v>0</v>
      </c>
      <c r="BX2" s="5" t="b">
        <v>1</v>
      </c>
      <c r="BY2" s="5" t="b">
        <v>0</v>
      </c>
      <c r="BZ2" s="5" t="b">
        <v>0</v>
      </c>
      <c r="CA2" s="5" t="b">
        <v>0</v>
      </c>
      <c r="CB2" s="5" t="b">
        <v>0</v>
      </c>
      <c r="CC2" s="5" t="b">
        <v>0</v>
      </c>
      <c r="CD2" s="5" t="b">
        <v>0</v>
      </c>
      <c r="CE2" s="5" t="b">
        <v>0</v>
      </c>
      <c r="CF2" s="5" t="b">
        <v>0</v>
      </c>
      <c r="CG2" s="5" t="b">
        <v>0</v>
      </c>
      <c r="CH2" s="5" t="b">
        <v>1</v>
      </c>
      <c r="CI2" s="5" t="b">
        <v>0</v>
      </c>
      <c r="CJ2" s="5" t="b">
        <v>0</v>
      </c>
      <c r="CK2" s="5" t="b">
        <v>0</v>
      </c>
      <c r="CL2" s="5" t="b">
        <v>0</v>
      </c>
      <c r="CM2" s="5" t="b">
        <v>0</v>
      </c>
    </row>
    <row r="3" spans="1:91" ht="60" x14ac:dyDescent="0.25">
      <c r="A3" s="188">
        <v>45712</v>
      </c>
      <c r="B3" s="5" t="s">
        <v>44</v>
      </c>
      <c r="C3" s="5" t="s">
        <v>5</v>
      </c>
      <c r="D3" s="5" t="s">
        <v>8</v>
      </c>
      <c r="E3" s="5" t="s">
        <v>10</v>
      </c>
      <c r="F3" s="5" t="s">
        <v>13</v>
      </c>
      <c r="G3" s="5" t="s">
        <v>15</v>
      </c>
      <c r="H3" s="5" t="s">
        <v>45</v>
      </c>
      <c r="I3" s="5" t="s">
        <v>19</v>
      </c>
      <c r="M3" s="5" t="s">
        <v>9</v>
      </c>
      <c r="N3" s="5" t="s">
        <v>11</v>
      </c>
      <c r="O3" s="5" t="s">
        <v>14</v>
      </c>
      <c r="P3" s="5" t="s">
        <v>16</v>
      </c>
      <c r="Q3" s="5" t="s">
        <v>18</v>
      </c>
      <c r="R3" s="5" t="s">
        <v>20</v>
      </c>
      <c r="AH3" s="5" t="s">
        <v>41</v>
      </c>
      <c r="AT3" s="5" t="s">
        <v>46</v>
      </c>
      <c r="AU3" s="5" t="s">
        <v>47</v>
      </c>
      <c r="AW3" s="5" t="s">
        <v>48</v>
      </c>
      <c r="BB3" s="5" t="s">
        <v>49</v>
      </c>
      <c r="BJ3" s="5" t="s">
        <v>50</v>
      </c>
      <c r="BK3" s="5" t="s">
        <v>51</v>
      </c>
      <c r="BU3" s="5" t="s">
        <v>52</v>
      </c>
      <c r="BV3" s="5" t="b">
        <v>1</v>
      </c>
      <c r="BW3" s="5" t="b">
        <v>1</v>
      </c>
      <c r="BX3" s="5" t="b">
        <v>1</v>
      </c>
      <c r="BY3" s="5" t="b">
        <v>1</v>
      </c>
      <c r="BZ3" s="5" t="b">
        <v>1</v>
      </c>
      <c r="CA3" s="5" t="b">
        <v>1</v>
      </c>
      <c r="CB3" s="5" t="b">
        <v>0</v>
      </c>
      <c r="CC3" s="5" t="b">
        <v>0</v>
      </c>
      <c r="CD3" s="5" t="b">
        <v>0</v>
      </c>
      <c r="CE3" s="5" t="b">
        <v>1</v>
      </c>
      <c r="CF3" s="5" t="b">
        <v>1</v>
      </c>
      <c r="CG3" s="5" t="b">
        <v>1</v>
      </c>
      <c r="CH3" s="5" t="b">
        <v>1</v>
      </c>
      <c r="CI3" s="5" t="b">
        <v>1</v>
      </c>
      <c r="CJ3" s="5" t="b">
        <v>1</v>
      </c>
      <c r="CK3" s="5" t="b">
        <v>0</v>
      </c>
      <c r="CL3" s="5" t="b">
        <v>0</v>
      </c>
      <c r="CM3" s="5" t="b">
        <v>0</v>
      </c>
    </row>
    <row r="4" spans="1:91" ht="60" x14ac:dyDescent="0.25">
      <c r="A4" s="188">
        <v>45713</v>
      </c>
      <c r="B4" s="5" t="s">
        <v>44</v>
      </c>
      <c r="C4" s="5" t="s">
        <v>5</v>
      </c>
      <c r="D4" s="5" t="s">
        <v>8</v>
      </c>
      <c r="E4" s="5" t="s">
        <v>10</v>
      </c>
      <c r="F4" s="5" t="s">
        <v>13</v>
      </c>
      <c r="G4" s="5" t="s">
        <v>15</v>
      </c>
      <c r="H4" s="5" t="s">
        <v>45</v>
      </c>
      <c r="I4" s="5" t="s">
        <v>19</v>
      </c>
      <c r="M4" s="5" t="s">
        <v>9</v>
      </c>
      <c r="N4" s="5" t="s">
        <v>11</v>
      </c>
      <c r="O4" s="5" t="s">
        <v>14</v>
      </c>
      <c r="P4" s="5" t="s">
        <v>16</v>
      </c>
      <c r="Q4" s="5" t="s">
        <v>18</v>
      </c>
      <c r="R4" s="5" t="s">
        <v>20</v>
      </c>
      <c r="V4" s="5" t="s">
        <v>53</v>
      </c>
      <c r="AV4" s="5" t="s">
        <v>54</v>
      </c>
      <c r="BV4" s="5" t="b">
        <v>1</v>
      </c>
      <c r="BW4" s="5" t="b">
        <v>1</v>
      </c>
      <c r="BX4" s="5" t="b">
        <v>1</v>
      </c>
      <c r="BY4" s="5" t="b">
        <v>1</v>
      </c>
      <c r="BZ4" s="5" t="b">
        <v>0</v>
      </c>
      <c r="CA4" s="5" t="b">
        <v>1</v>
      </c>
      <c r="CB4" s="5" t="b">
        <v>0</v>
      </c>
      <c r="CC4" s="5" t="b">
        <v>0</v>
      </c>
      <c r="CD4" s="5" t="b">
        <v>0</v>
      </c>
      <c r="CE4" s="5" t="b">
        <v>1</v>
      </c>
      <c r="CF4" s="5" t="b">
        <v>1</v>
      </c>
      <c r="CG4" s="5" t="b">
        <v>1</v>
      </c>
      <c r="CH4" s="5" t="b">
        <v>1</v>
      </c>
      <c r="CI4" s="5" t="b">
        <v>1</v>
      </c>
      <c r="CJ4" s="5" t="b">
        <v>1</v>
      </c>
      <c r="CK4" s="5" t="b">
        <v>0</v>
      </c>
      <c r="CL4" s="5" t="b">
        <v>0</v>
      </c>
      <c r="CM4" s="5" t="b">
        <v>0</v>
      </c>
    </row>
    <row r="5" spans="1:91" ht="60" x14ac:dyDescent="0.25">
      <c r="A5" s="188">
        <v>45714</v>
      </c>
      <c r="B5" s="5" t="s">
        <v>44</v>
      </c>
      <c r="C5" s="5" t="s">
        <v>55</v>
      </c>
      <c r="D5" s="5" t="s">
        <v>8</v>
      </c>
      <c r="E5" s="5" t="s">
        <v>10</v>
      </c>
      <c r="F5" s="5" t="s">
        <v>13</v>
      </c>
      <c r="G5" s="5" t="s">
        <v>15</v>
      </c>
      <c r="H5" s="5" t="s">
        <v>45</v>
      </c>
      <c r="I5" s="5" t="s">
        <v>19</v>
      </c>
      <c r="M5" s="5" t="s">
        <v>9</v>
      </c>
      <c r="N5" s="5" t="s">
        <v>11</v>
      </c>
      <c r="O5" s="5" t="s">
        <v>14</v>
      </c>
      <c r="P5" s="5" t="s">
        <v>16</v>
      </c>
      <c r="Q5" s="5" t="s">
        <v>18</v>
      </c>
      <c r="R5" s="5" t="s">
        <v>20</v>
      </c>
      <c r="BV5" s="5" t="b">
        <v>1</v>
      </c>
      <c r="BW5" s="5" t="b">
        <v>1</v>
      </c>
      <c r="BX5" s="5" t="b">
        <v>1</v>
      </c>
      <c r="BY5" s="5" t="b">
        <v>1</v>
      </c>
      <c r="BZ5" s="5" t="b">
        <v>0</v>
      </c>
      <c r="CA5" s="5" t="b">
        <v>1</v>
      </c>
      <c r="CB5" s="5" t="b">
        <v>0</v>
      </c>
      <c r="CC5" s="5" t="b">
        <v>0</v>
      </c>
      <c r="CD5" s="5" t="b">
        <v>0</v>
      </c>
      <c r="CE5" s="5" t="b">
        <v>1</v>
      </c>
      <c r="CF5" s="5" t="b">
        <v>1</v>
      </c>
      <c r="CG5" s="5" t="b">
        <v>1</v>
      </c>
      <c r="CH5" s="5" t="b">
        <v>1</v>
      </c>
      <c r="CI5" s="5" t="b">
        <v>1</v>
      </c>
      <c r="CJ5" s="5" t="b">
        <v>1</v>
      </c>
      <c r="CK5" s="5" t="b">
        <v>0</v>
      </c>
      <c r="CL5" s="5" t="b">
        <v>0</v>
      </c>
      <c r="CM5" s="5" t="b">
        <v>0</v>
      </c>
    </row>
    <row r="6" spans="1:91" ht="45" x14ac:dyDescent="0.25">
      <c r="A6" s="188">
        <v>45714</v>
      </c>
      <c r="B6" s="5" t="s">
        <v>56</v>
      </c>
      <c r="C6" s="5" t="s">
        <v>57</v>
      </c>
      <c r="D6" s="5" t="s">
        <v>8</v>
      </c>
      <c r="E6" s="5" t="s">
        <v>10</v>
      </c>
      <c r="F6" s="5" t="s">
        <v>35</v>
      </c>
      <c r="G6" s="5" t="s">
        <v>15</v>
      </c>
      <c r="H6" s="5" t="s">
        <v>58</v>
      </c>
      <c r="M6" s="5" t="s">
        <v>9</v>
      </c>
      <c r="N6" s="5" t="s">
        <v>11</v>
      </c>
      <c r="O6" s="5" t="s">
        <v>14</v>
      </c>
      <c r="P6" s="5" t="s">
        <v>16</v>
      </c>
      <c r="Q6" s="5" t="s">
        <v>18</v>
      </c>
      <c r="R6" s="5" t="s">
        <v>20</v>
      </c>
      <c r="BV6" s="5" t="b">
        <v>1</v>
      </c>
      <c r="BW6" s="5" t="b">
        <v>1</v>
      </c>
      <c r="BX6" s="5" t="b">
        <v>1</v>
      </c>
      <c r="BY6" s="5" t="b">
        <v>1</v>
      </c>
      <c r="BZ6" s="5" t="b">
        <v>1</v>
      </c>
      <c r="CA6" s="5" t="b">
        <v>0</v>
      </c>
      <c r="CB6" s="5" t="b">
        <v>0</v>
      </c>
      <c r="CC6" s="5" t="b">
        <v>0</v>
      </c>
      <c r="CD6" s="5" t="b">
        <v>0</v>
      </c>
      <c r="CE6" s="5" t="b">
        <v>1</v>
      </c>
      <c r="CF6" s="5" t="b">
        <v>1</v>
      </c>
      <c r="CG6" s="5" t="b">
        <v>1</v>
      </c>
      <c r="CH6" s="5" t="b">
        <v>1</v>
      </c>
      <c r="CI6" s="5" t="b">
        <v>1</v>
      </c>
      <c r="CJ6" s="5" t="b">
        <v>1</v>
      </c>
      <c r="CK6" s="5" t="b">
        <v>0</v>
      </c>
      <c r="CL6" s="5" t="b">
        <v>0</v>
      </c>
      <c r="CM6" s="5" t="b">
        <v>0</v>
      </c>
    </row>
    <row r="7" spans="1:91" ht="90" x14ac:dyDescent="0.25">
      <c r="A7" s="188">
        <v>45714</v>
      </c>
      <c r="B7" s="5" t="s">
        <v>6</v>
      </c>
      <c r="C7" s="5" t="s">
        <v>34</v>
      </c>
      <c r="D7" s="5" t="s">
        <v>6</v>
      </c>
      <c r="E7" s="5" t="s">
        <v>8</v>
      </c>
      <c r="F7" s="5" t="s">
        <v>10</v>
      </c>
      <c r="G7" s="5" t="s">
        <v>35</v>
      </c>
      <c r="H7" s="5" t="s">
        <v>15</v>
      </c>
      <c r="I7" s="5" t="s">
        <v>59</v>
      </c>
      <c r="J7" s="5" t="s">
        <v>37</v>
      </c>
      <c r="K7" s="5" t="s">
        <v>60</v>
      </c>
      <c r="L7" s="5" t="s">
        <v>39</v>
      </c>
      <c r="M7" s="5" t="s">
        <v>61</v>
      </c>
      <c r="N7" s="5" t="s">
        <v>9</v>
      </c>
      <c r="O7" s="5" t="s">
        <v>11</v>
      </c>
      <c r="P7" s="5" t="s">
        <v>14</v>
      </c>
      <c r="Q7" s="5" t="s">
        <v>16</v>
      </c>
      <c r="R7" s="5" t="s">
        <v>18</v>
      </c>
      <c r="S7" s="5" t="s">
        <v>20</v>
      </c>
      <c r="V7" s="5" t="s">
        <v>62</v>
      </c>
      <c r="AV7" s="5" t="s">
        <v>63</v>
      </c>
      <c r="BV7" s="5" t="b">
        <v>1</v>
      </c>
      <c r="BW7" s="5" t="b">
        <v>1</v>
      </c>
      <c r="BX7" s="5" t="b">
        <v>1</v>
      </c>
      <c r="BY7" s="5" t="b">
        <v>1</v>
      </c>
      <c r="BZ7" s="5" t="b">
        <v>1</v>
      </c>
      <c r="CA7" s="5" t="b">
        <v>1</v>
      </c>
      <c r="CB7" s="5" t="b">
        <v>1</v>
      </c>
      <c r="CC7" s="5" t="b">
        <v>1</v>
      </c>
      <c r="CD7" s="5" t="b">
        <v>1</v>
      </c>
      <c r="CE7" s="5" t="b">
        <v>1</v>
      </c>
      <c r="CF7" s="5" t="b">
        <v>0</v>
      </c>
      <c r="CG7" s="5" t="b">
        <v>0</v>
      </c>
      <c r="CH7" s="5" t="b">
        <v>0</v>
      </c>
      <c r="CI7" s="5" t="b">
        <v>0</v>
      </c>
      <c r="CJ7" s="5" t="b">
        <v>0</v>
      </c>
      <c r="CK7" s="5" t="b">
        <v>0</v>
      </c>
      <c r="CL7" s="5" t="b">
        <v>0</v>
      </c>
      <c r="CM7" s="5" t="b">
        <v>0</v>
      </c>
    </row>
    <row r="8" spans="1:91" ht="60" x14ac:dyDescent="0.25">
      <c r="A8" s="188">
        <v>45715</v>
      </c>
      <c r="B8" s="5" t="s">
        <v>44</v>
      </c>
      <c r="C8" s="5" t="s">
        <v>55</v>
      </c>
      <c r="D8" s="5" t="s">
        <v>8</v>
      </c>
      <c r="E8" s="5" t="s">
        <v>10</v>
      </c>
      <c r="F8" s="5" t="s">
        <v>13</v>
      </c>
      <c r="G8" s="5" t="s">
        <v>15</v>
      </c>
      <c r="H8" s="5" t="s">
        <v>45</v>
      </c>
      <c r="I8" s="5" t="s">
        <v>19</v>
      </c>
      <c r="M8" s="5" t="s">
        <v>9</v>
      </c>
      <c r="N8" s="5" t="s">
        <v>11</v>
      </c>
      <c r="O8" s="5" t="s">
        <v>14</v>
      </c>
      <c r="P8" s="5" t="s">
        <v>16</v>
      </c>
      <c r="Q8" s="5" t="s">
        <v>18</v>
      </c>
      <c r="R8" s="5" t="s">
        <v>20</v>
      </c>
      <c r="BV8" s="5" t="b">
        <v>1</v>
      </c>
      <c r="BW8" s="5" t="b">
        <v>1</v>
      </c>
      <c r="BX8" s="5" t="b">
        <v>1</v>
      </c>
      <c r="BY8" s="5" t="b">
        <v>1</v>
      </c>
      <c r="BZ8" s="5" t="b">
        <v>0</v>
      </c>
      <c r="CA8" s="5" t="b">
        <v>1</v>
      </c>
      <c r="CB8" s="5" t="b">
        <v>0</v>
      </c>
      <c r="CC8" s="5" t="b">
        <v>0</v>
      </c>
      <c r="CD8" s="5" t="b">
        <v>0</v>
      </c>
      <c r="CE8" s="5" t="b">
        <v>1</v>
      </c>
      <c r="CF8" s="5" t="b">
        <v>1</v>
      </c>
      <c r="CG8" s="5" t="b">
        <v>1</v>
      </c>
      <c r="CH8" s="5" t="b">
        <v>1</v>
      </c>
      <c r="CI8" s="5" t="b">
        <v>1</v>
      </c>
      <c r="CJ8" s="5" t="b">
        <v>1</v>
      </c>
      <c r="CK8" s="5" t="b">
        <v>0</v>
      </c>
      <c r="CL8" s="5" t="b">
        <v>0</v>
      </c>
      <c r="CM8" s="5" t="b">
        <v>0</v>
      </c>
    </row>
    <row r="9" spans="1:91" ht="60" x14ac:dyDescent="0.25">
      <c r="A9" s="188">
        <v>45715</v>
      </c>
      <c r="B9" s="5" t="s">
        <v>56</v>
      </c>
      <c r="C9" s="5" t="s">
        <v>57</v>
      </c>
      <c r="D9" s="5" t="s">
        <v>8</v>
      </c>
      <c r="E9" s="5" t="s">
        <v>10</v>
      </c>
      <c r="F9" s="5" t="s">
        <v>35</v>
      </c>
      <c r="G9" s="5" t="s">
        <v>15</v>
      </c>
      <c r="H9" s="5" t="s">
        <v>58</v>
      </c>
      <c r="N9" s="5" t="s">
        <v>9</v>
      </c>
      <c r="O9" s="5" t="s">
        <v>11</v>
      </c>
      <c r="P9" s="5" t="s">
        <v>14</v>
      </c>
      <c r="Q9" s="5" t="s">
        <v>16</v>
      </c>
      <c r="R9" s="5" t="s">
        <v>18</v>
      </c>
      <c r="S9" s="5" t="s">
        <v>20</v>
      </c>
      <c r="BV9" s="5" t="b">
        <v>1</v>
      </c>
      <c r="BW9" s="5" t="b">
        <v>1</v>
      </c>
      <c r="BX9" s="5" t="b">
        <v>1</v>
      </c>
      <c r="BY9" s="5" t="b">
        <v>1</v>
      </c>
      <c r="BZ9" s="5" t="b">
        <v>0</v>
      </c>
      <c r="CA9" s="5" t="b">
        <v>0</v>
      </c>
      <c r="CB9" s="5" t="b">
        <v>0</v>
      </c>
      <c r="CC9" s="5" t="b">
        <v>0</v>
      </c>
      <c r="CD9" s="5" t="b">
        <v>0</v>
      </c>
      <c r="CE9" s="5" t="b">
        <v>0</v>
      </c>
      <c r="CF9" s="5" t="b">
        <v>1</v>
      </c>
      <c r="CG9" s="5" t="b">
        <v>1</v>
      </c>
      <c r="CH9" s="5" t="b">
        <v>1</v>
      </c>
      <c r="CI9" s="5" t="b">
        <v>1</v>
      </c>
      <c r="CJ9" s="5" t="b">
        <v>1</v>
      </c>
      <c r="CK9" s="5" t="b">
        <v>1</v>
      </c>
      <c r="CL9" s="5" t="b">
        <v>0</v>
      </c>
      <c r="CM9" s="5" t="b">
        <v>0</v>
      </c>
    </row>
    <row r="10" spans="1:91" ht="90" x14ac:dyDescent="0.25">
      <c r="A10" s="188">
        <v>45715</v>
      </c>
      <c r="B10" s="5" t="s">
        <v>6</v>
      </c>
      <c r="C10" s="5" t="s">
        <v>34</v>
      </c>
      <c r="D10" s="5" t="s">
        <v>6</v>
      </c>
      <c r="E10" s="5" t="s">
        <v>8</v>
      </c>
      <c r="F10" s="5" t="s">
        <v>10</v>
      </c>
      <c r="G10" s="5" t="s">
        <v>35</v>
      </c>
      <c r="H10" s="5" t="s">
        <v>15</v>
      </c>
      <c r="I10" s="5" t="s">
        <v>59</v>
      </c>
      <c r="J10" s="5" t="s">
        <v>37</v>
      </c>
      <c r="K10" s="5" t="s">
        <v>60</v>
      </c>
      <c r="L10" s="5" t="s">
        <v>39</v>
      </c>
      <c r="M10" s="5" t="s">
        <v>61</v>
      </c>
      <c r="N10" s="5" t="s">
        <v>9</v>
      </c>
      <c r="O10" s="5" t="s">
        <v>11</v>
      </c>
      <c r="P10" s="5" t="s">
        <v>14</v>
      </c>
      <c r="Q10" s="5" t="s">
        <v>16</v>
      </c>
      <c r="R10" s="5" t="s">
        <v>18</v>
      </c>
      <c r="S10" s="5" t="s">
        <v>20</v>
      </c>
      <c r="BV10" s="5" t="b">
        <v>1</v>
      </c>
      <c r="BW10" s="5" t="b">
        <v>1</v>
      </c>
      <c r="BX10" s="5" t="b">
        <v>1</v>
      </c>
      <c r="BY10" s="5" t="b">
        <v>1</v>
      </c>
      <c r="BZ10" s="5" t="b">
        <v>1</v>
      </c>
      <c r="CA10" s="5" t="b">
        <v>1</v>
      </c>
      <c r="CB10" s="5" t="b">
        <v>1</v>
      </c>
      <c r="CC10" s="5" t="b">
        <v>1</v>
      </c>
      <c r="CD10" s="5" t="b">
        <v>1</v>
      </c>
      <c r="CE10" s="5" t="b">
        <v>1</v>
      </c>
      <c r="CF10" s="5" t="b">
        <v>0</v>
      </c>
      <c r="CG10" s="5" t="b">
        <v>0</v>
      </c>
      <c r="CH10" s="5" t="b">
        <v>0</v>
      </c>
      <c r="CI10" s="5" t="b">
        <v>0</v>
      </c>
      <c r="CJ10" s="5" t="b">
        <v>0</v>
      </c>
      <c r="CK10" s="5" t="b">
        <v>0</v>
      </c>
      <c r="CL10" s="5" t="b">
        <v>0</v>
      </c>
      <c r="CM10" s="5" t="b">
        <v>0</v>
      </c>
    </row>
    <row r="11" spans="1:91" ht="60" x14ac:dyDescent="0.25">
      <c r="A11" s="188">
        <v>45716</v>
      </c>
      <c r="B11" s="5" t="s">
        <v>44</v>
      </c>
      <c r="C11" s="5" t="s">
        <v>57</v>
      </c>
      <c r="D11" s="5" t="s">
        <v>8</v>
      </c>
      <c r="E11" s="5" t="s">
        <v>10</v>
      </c>
      <c r="F11" s="5" t="s">
        <v>13</v>
      </c>
      <c r="G11" s="5" t="s">
        <v>15</v>
      </c>
      <c r="H11" s="5" t="s">
        <v>45</v>
      </c>
      <c r="I11" s="5" t="s">
        <v>19</v>
      </c>
      <c r="M11" s="5" t="s">
        <v>9</v>
      </c>
      <c r="N11" s="5" t="s">
        <v>11</v>
      </c>
      <c r="O11" s="5" t="s">
        <v>14</v>
      </c>
      <c r="P11" s="5" t="s">
        <v>16</v>
      </c>
      <c r="Q11" s="5" t="s">
        <v>18</v>
      </c>
      <c r="R11" s="5" t="s">
        <v>20</v>
      </c>
      <c r="BV11" s="5" t="b">
        <v>0</v>
      </c>
      <c r="BW11" s="5" t="b">
        <v>0</v>
      </c>
      <c r="BX11" s="5" t="b">
        <v>0</v>
      </c>
      <c r="BY11" s="5" t="b">
        <v>0</v>
      </c>
      <c r="BZ11" s="5" t="b">
        <v>0</v>
      </c>
      <c r="CA11" s="5" t="b">
        <v>0</v>
      </c>
      <c r="CB11" s="5" t="b">
        <v>0</v>
      </c>
      <c r="CC11" s="5" t="b">
        <v>0</v>
      </c>
      <c r="CD11" s="5" t="b">
        <v>0</v>
      </c>
      <c r="CE11" s="5" t="b">
        <v>0</v>
      </c>
      <c r="CF11" s="5" t="b">
        <v>0</v>
      </c>
      <c r="CG11" s="5" t="b">
        <v>0</v>
      </c>
      <c r="CH11" s="5" t="b">
        <v>0</v>
      </c>
      <c r="CI11" s="5" t="b">
        <v>0</v>
      </c>
      <c r="CJ11" s="5" t="b">
        <v>0</v>
      </c>
      <c r="CK11" s="5" t="b">
        <v>0</v>
      </c>
      <c r="CL11" s="5" t="b">
        <v>0</v>
      </c>
      <c r="CM11" s="5" t="b">
        <v>0</v>
      </c>
    </row>
    <row r="12" spans="1:91" ht="90" x14ac:dyDescent="0.25">
      <c r="A12" s="188">
        <v>45716</v>
      </c>
      <c r="B12" s="5" t="s">
        <v>64</v>
      </c>
      <c r="C12" s="5" t="s">
        <v>57</v>
      </c>
      <c r="D12" s="5" t="s">
        <v>64</v>
      </c>
      <c r="E12" s="5" t="s">
        <v>8</v>
      </c>
      <c r="F12" s="5" t="s">
        <v>10</v>
      </c>
      <c r="G12" s="5" t="s">
        <v>35</v>
      </c>
      <c r="H12" s="5" t="s">
        <v>15</v>
      </c>
      <c r="I12" s="5" t="s">
        <v>65</v>
      </c>
      <c r="N12" s="5" t="s">
        <v>9</v>
      </c>
      <c r="O12" s="5" t="s">
        <v>11</v>
      </c>
      <c r="P12" s="5" t="s">
        <v>14</v>
      </c>
      <c r="Q12" s="5" t="s">
        <v>16</v>
      </c>
      <c r="R12" s="5" t="s">
        <v>18</v>
      </c>
      <c r="S12" s="5" t="s">
        <v>20</v>
      </c>
      <c r="BV12" s="5" t="b">
        <v>1</v>
      </c>
      <c r="BW12" s="5" t="b">
        <v>1</v>
      </c>
      <c r="BX12" s="5" t="b">
        <v>1</v>
      </c>
      <c r="BY12" s="5" t="b">
        <v>1</v>
      </c>
      <c r="BZ12" s="5" t="b">
        <v>1</v>
      </c>
      <c r="CA12" s="5" t="b">
        <v>0</v>
      </c>
      <c r="CB12" s="5" t="b">
        <v>0</v>
      </c>
      <c r="CC12" s="5" t="b">
        <v>0</v>
      </c>
      <c r="CD12" s="5" t="b">
        <v>0</v>
      </c>
      <c r="CE12" s="5" t="b">
        <v>0</v>
      </c>
      <c r="CF12" s="5" t="b">
        <v>1</v>
      </c>
      <c r="CG12" s="5" t="b">
        <v>1</v>
      </c>
      <c r="CH12" s="5" t="b">
        <v>1</v>
      </c>
      <c r="CI12" s="5" t="b">
        <v>1</v>
      </c>
      <c r="CJ12" s="5" t="b">
        <v>1</v>
      </c>
      <c r="CK12" s="5" t="b">
        <v>1</v>
      </c>
      <c r="CL12" s="5" t="b">
        <v>0</v>
      </c>
      <c r="CM12" s="5" t="b">
        <v>0</v>
      </c>
    </row>
    <row r="13" spans="1:91" ht="90" x14ac:dyDescent="0.25">
      <c r="A13" s="188">
        <v>45717</v>
      </c>
      <c r="B13" s="5" t="s">
        <v>66</v>
      </c>
      <c r="C13" s="5" t="s">
        <v>34</v>
      </c>
      <c r="D13" s="5" t="s">
        <v>66</v>
      </c>
      <c r="E13" s="5" t="s">
        <v>8</v>
      </c>
      <c r="F13" s="5" t="s">
        <v>10</v>
      </c>
      <c r="G13" s="5" t="s">
        <v>35</v>
      </c>
      <c r="H13" s="5" t="s">
        <v>15</v>
      </c>
      <c r="I13" s="5" t="s">
        <v>67</v>
      </c>
      <c r="J13" s="5" t="s">
        <v>37</v>
      </c>
      <c r="K13" s="5" t="s">
        <v>60</v>
      </c>
      <c r="L13" s="5" t="s">
        <v>39</v>
      </c>
      <c r="M13" s="5" t="s">
        <v>61</v>
      </c>
      <c r="N13" s="5" t="s">
        <v>9</v>
      </c>
      <c r="O13" s="5" t="s">
        <v>11</v>
      </c>
      <c r="P13" s="5" t="s">
        <v>14</v>
      </c>
      <c r="Q13" s="5" t="s">
        <v>16</v>
      </c>
      <c r="R13" s="5" t="s">
        <v>18</v>
      </c>
      <c r="S13" s="5" t="s">
        <v>20</v>
      </c>
      <c r="BV13" s="5" t="b">
        <v>1</v>
      </c>
      <c r="BW13" s="5" t="b">
        <v>1</v>
      </c>
      <c r="BX13" s="5" t="b">
        <v>1</v>
      </c>
      <c r="BY13" s="5" t="b">
        <v>1</v>
      </c>
      <c r="BZ13" s="5" t="b">
        <v>1</v>
      </c>
      <c r="CA13" s="5" t="b">
        <v>1</v>
      </c>
      <c r="CB13" s="5" t="b">
        <v>1</v>
      </c>
      <c r="CC13" s="5" t="b">
        <v>1</v>
      </c>
      <c r="CD13" s="5" t="b">
        <v>1</v>
      </c>
      <c r="CE13" s="5" t="b">
        <v>0</v>
      </c>
      <c r="CF13" s="5" t="b">
        <v>0</v>
      </c>
      <c r="CG13" s="5" t="b">
        <v>0</v>
      </c>
      <c r="CH13" s="5" t="b">
        <v>0</v>
      </c>
      <c r="CI13" s="5" t="b">
        <v>0</v>
      </c>
      <c r="CJ13" s="5" t="b">
        <v>0</v>
      </c>
      <c r="CK13" s="5" t="b">
        <v>0</v>
      </c>
      <c r="CL13" s="5" t="b">
        <v>0</v>
      </c>
      <c r="CM13" s="5" t="b">
        <v>0</v>
      </c>
    </row>
    <row r="14" spans="1:91" ht="60" x14ac:dyDescent="0.25">
      <c r="A14" s="188">
        <v>45718</v>
      </c>
      <c r="B14" s="5" t="s">
        <v>44</v>
      </c>
      <c r="C14" s="5" t="s">
        <v>57</v>
      </c>
      <c r="D14" s="5" t="s">
        <v>8</v>
      </c>
      <c r="E14" s="5" t="s">
        <v>10</v>
      </c>
      <c r="F14" s="5" t="s">
        <v>13</v>
      </c>
      <c r="G14" s="5" t="s">
        <v>15</v>
      </c>
      <c r="H14" s="5" t="s">
        <v>17</v>
      </c>
      <c r="I14" s="5" t="s">
        <v>19</v>
      </c>
      <c r="M14" s="5" t="s">
        <v>9</v>
      </c>
      <c r="N14" s="5" t="s">
        <v>11</v>
      </c>
      <c r="O14" s="5" t="s">
        <v>14</v>
      </c>
      <c r="P14" s="5" t="s">
        <v>16</v>
      </c>
      <c r="Q14" s="5" t="s">
        <v>18</v>
      </c>
      <c r="R14" s="5" t="s">
        <v>20</v>
      </c>
      <c r="BV14" s="5" t="b">
        <v>1</v>
      </c>
      <c r="BW14" s="5" t="b">
        <v>1</v>
      </c>
      <c r="BX14" s="5" t="b">
        <v>1</v>
      </c>
      <c r="BY14" s="5" t="b">
        <v>1</v>
      </c>
      <c r="BZ14" s="5" t="b">
        <v>0</v>
      </c>
      <c r="CA14" s="5" t="b">
        <v>1</v>
      </c>
      <c r="CB14" s="5" t="b">
        <v>0</v>
      </c>
      <c r="CC14" s="5" t="b">
        <v>0</v>
      </c>
      <c r="CD14" s="5" t="b">
        <v>0</v>
      </c>
      <c r="CE14" s="5" t="b">
        <v>1</v>
      </c>
      <c r="CF14" s="5" t="b">
        <v>1</v>
      </c>
      <c r="CG14" s="5" t="b">
        <v>1</v>
      </c>
      <c r="CH14" s="5" t="b">
        <v>1</v>
      </c>
      <c r="CI14" s="5" t="b">
        <v>1</v>
      </c>
      <c r="CJ14" s="5" t="b">
        <v>1</v>
      </c>
      <c r="CK14" s="5" t="b">
        <v>0</v>
      </c>
      <c r="CL14" s="5" t="b">
        <v>0</v>
      </c>
      <c r="CM14" s="5" t="b">
        <v>0</v>
      </c>
    </row>
    <row r="15" spans="1:91" ht="90" x14ac:dyDescent="0.25">
      <c r="A15" s="188">
        <v>45718</v>
      </c>
      <c r="B15" s="5" t="s">
        <v>6</v>
      </c>
      <c r="C15" s="5" t="s">
        <v>34</v>
      </c>
      <c r="D15" s="5" t="s">
        <v>6</v>
      </c>
      <c r="E15" s="5" t="s">
        <v>8</v>
      </c>
      <c r="F15" s="5" t="s">
        <v>10</v>
      </c>
      <c r="G15" s="5" t="s">
        <v>35</v>
      </c>
      <c r="H15" s="5" t="s">
        <v>15</v>
      </c>
      <c r="I15" s="5" t="s">
        <v>59</v>
      </c>
      <c r="J15" s="5" t="s">
        <v>37</v>
      </c>
      <c r="K15" s="5" t="s">
        <v>60</v>
      </c>
      <c r="L15" s="5" t="s">
        <v>39</v>
      </c>
      <c r="M15" s="5" t="s">
        <v>61</v>
      </c>
      <c r="N15" s="5" t="s">
        <v>9</v>
      </c>
      <c r="O15" s="5" t="s">
        <v>11</v>
      </c>
      <c r="P15" s="5" t="s">
        <v>14</v>
      </c>
      <c r="Q15" s="5" t="s">
        <v>16</v>
      </c>
      <c r="R15" s="5" t="s">
        <v>18</v>
      </c>
      <c r="S15" s="5" t="s">
        <v>20</v>
      </c>
      <c r="BV15" s="5" t="b">
        <v>1</v>
      </c>
      <c r="BW15" s="5" t="b">
        <v>1</v>
      </c>
      <c r="BX15" s="5" t="b">
        <v>1</v>
      </c>
      <c r="BY15" s="5" t="b">
        <v>1</v>
      </c>
      <c r="BZ15" s="5" t="b">
        <v>1</v>
      </c>
      <c r="CA15" s="5" t="b">
        <v>1</v>
      </c>
      <c r="CB15" s="5" t="b">
        <v>1</v>
      </c>
      <c r="CC15" s="5" t="b">
        <v>1</v>
      </c>
      <c r="CD15" s="5" t="b">
        <v>1</v>
      </c>
      <c r="CE15" s="5" t="b">
        <v>0</v>
      </c>
      <c r="CF15" s="5" t="b">
        <v>0</v>
      </c>
      <c r="CG15" s="5" t="b">
        <v>0</v>
      </c>
      <c r="CH15" s="5" t="b">
        <v>0</v>
      </c>
      <c r="CI15" s="5" t="b">
        <v>0</v>
      </c>
      <c r="CJ15" s="5" t="b">
        <v>0</v>
      </c>
      <c r="CK15" s="5" t="b">
        <v>0</v>
      </c>
      <c r="CL15" s="5" t="b">
        <v>0</v>
      </c>
      <c r="CM15" s="5" t="b">
        <v>0</v>
      </c>
    </row>
    <row r="16" spans="1:91" ht="60" x14ac:dyDescent="0.25">
      <c r="A16" s="188">
        <v>45719</v>
      </c>
      <c r="B16" s="5" t="s">
        <v>44</v>
      </c>
      <c r="C16" s="5" t="s">
        <v>57</v>
      </c>
      <c r="D16" s="5" t="s">
        <v>8</v>
      </c>
      <c r="E16" s="5" t="s">
        <v>10</v>
      </c>
      <c r="F16" s="5" t="s">
        <v>13</v>
      </c>
      <c r="G16" s="5" t="s">
        <v>15</v>
      </c>
      <c r="H16" s="5" t="s">
        <v>17</v>
      </c>
      <c r="I16" s="5" t="s">
        <v>19</v>
      </c>
      <c r="M16" s="5" t="s">
        <v>9</v>
      </c>
      <c r="N16" s="5" t="s">
        <v>11</v>
      </c>
      <c r="O16" s="5" t="s">
        <v>14</v>
      </c>
      <c r="P16" s="5" t="s">
        <v>16</v>
      </c>
      <c r="Q16" s="5" t="s">
        <v>18</v>
      </c>
      <c r="R16" s="5" t="s">
        <v>20</v>
      </c>
      <c r="BV16" s="5" t="b">
        <v>1</v>
      </c>
      <c r="BW16" s="5" t="b">
        <v>1</v>
      </c>
      <c r="BX16" s="5" t="b">
        <v>1</v>
      </c>
      <c r="BY16" s="5" t="b">
        <v>1</v>
      </c>
      <c r="BZ16" s="5" t="b">
        <v>0</v>
      </c>
      <c r="CA16" s="5" t="b">
        <v>1</v>
      </c>
      <c r="CB16" s="5" t="b">
        <v>0</v>
      </c>
      <c r="CC16" s="5" t="b">
        <v>0</v>
      </c>
      <c r="CD16" s="5" t="b">
        <v>0</v>
      </c>
      <c r="CE16" s="5" t="b">
        <v>1</v>
      </c>
      <c r="CF16" s="5" t="b">
        <v>1</v>
      </c>
      <c r="CG16" s="5" t="b">
        <v>1</v>
      </c>
      <c r="CH16" s="5" t="b">
        <v>1</v>
      </c>
      <c r="CI16" s="5" t="b">
        <v>1</v>
      </c>
      <c r="CJ16" s="5" t="b">
        <v>1</v>
      </c>
      <c r="CK16" s="5" t="b">
        <v>0</v>
      </c>
      <c r="CL16" s="5" t="b">
        <v>0</v>
      </c>
      <c r="CM16" s="5" t="b">
        <v>0</v>
      </c>
    </row>
    <row r="17" spans="1:91" ht="60" x14ac:dyDescent="0.25">
      <c r="A17" s="188">
        <v>45719</v>
      </c>
      <c r="B17" s="5" t="s">
        <v>56</v>
      </c>
      <c r="C17" s="5" t="s">
        <v>5</v>
      </c>
      <c r="D17" s="5" t="s">
        <v>8</v>
      </c>
      <c r="E17" s="5" t="s">
        <v>10</v>
      </c>
      <c r="F17" s="5" t="s">
        <v>35</v>
      </c>
      <c r="G17" s="5" t="s">
        <v>15</v>
      </c>
      <c r="H17" s="5" t="s">
        <v>58</v>
      </c>
      <c r="N17" s="5" t="s">
        <v>9</v>
      </c>
      <c r="O17" s="5" t="s">
        <v>11</v>
      </c>
      <c r="P17" s="5" t="s">
        <v>14</v>
      </c>
      <c r="Q17" s="5" t="s">
        <v>16</v>
      </c>
      <c r="R17" s="5" t="s">
        <v>18</v>
      </c>
      <c r="S17" s="5" t="s">
        <v>20</v>
      </c>
      <c r="V17" s="5" t="s">
        <v>68</v>
      </c>
      <c r="BV17" s="5" t="b">
        <v>1</v>
      </c>
      <c r="BW17" s="5" t="b">
        <v>1</v>
      </c>
      <c r="BX17" s="5" t="b">
        <v>1</v>
      </c>
      <c r="BY17" s="5" t="b">
        <v>1</v>
      </c>
      <c r="BZ17" s="5" t="b">
        <v>0</v>
      </c>
      <c r="CA17" s="5" t="b">
        <v>0</v>
      </c>
      <c r="CB17" s="5" t="b">
        <v>0</v>
      </c>
      <c r="CC17" s="5" t="b">
        <v>0</v>
      </c>
      <c r="CD17" s="5" t="b">
        <v>0</v>
      </c>
      <c r="CE17" s="5" t="b">
        <v>1</v>
      </c>
      <c r="CF17" s="5" t="b">
        <v>1</v>
      </c>
      <c r="CG17" s="5" t="b">
        <v>1</v>
      </c>
      <c r="CH17" s="5" t="b">
        <v>1</v>
      </c>
      <c r="CI17" s="5" t="b">
        <v>1</v>
      </c>
      <c r="CJ17" s="5" t="b">
        <v>1</v>
      </c>
      <c r="CK17" s="5" t="b">
        <v>1</v>
      </c>
      <c r="CL17" s="5" t="b">
        <v>0</v>
      </c>
      <c r="CM17" s="5" t="b">
        <v>0</v>
      </c>
    </row>
    <row r="18" spans="1:91" ht="405" x14ac:dyDescent="0.25">
      <c r="A18" s="188">
        <v>45719</v>
      </c>
      <c r="B18" s="5" t="s">
        <v>6</v>
      </c>
      <c r="C18" s="5" t="s">
        <v>34</v>
      </c>
      <c r="D18" s="5" t="s">
        <v>8</v>
      </c>
      <c r="E18" s="5" t="s">
        <v>10</v>
      </c>
      <c r="F18" s="5" t="s">
        <v>35</v>
      </c>
      <c r="G18" s="5" t="s">
        <v>15</v>
      </c>
      <c r="H18" s="5" t="s">
        <v>59</v>
      </c>
      <c r="I18" s="5" t="s">
        <v>37</v>
      </c>
      <c r="J18" s="5" t="s">
        <v>60</v>
      </c>
      <c r="K18" s="5" t="s">
        <v>39</v>
      </c>
      <c r="L18" s="5" t="s">
        <v>61</v>
      </c>
      <c r="M18" s="5" t="s">
        <v>9</v>
      </c>
      <c r="N18" s="5" t="s">
        <v>11</v>
      </c>
      <c r="O18" s="5" t="s">
        <v>14</v>
      </c>
      <c r="P18" s="5" t="s">
        <v>16</v>
      </c>
      <c r="Q18" s="5" t="s">
        <v>18</v>
      </c>
      <c r="R18" s="5" t="s">
        <v>20</v>
      </c>
      <c r="V18" s="5" t="s">
        <v>69</v>
      </c>
      <c r="AV18" s="5" t="s">
        <v>70</v>
      </c>
      <c r="AW18" s="5" t="s">
        <v>71</v>
      </c>
      <c r="BV18" s="5" t="b">
        <v>1</v>
      </c>
      <c r="BW18" s="5" t="b">
        <v>1</v>
      </c>
      <c r="BX18" s="5" t="b">
        <v>1</v>
      </c>
      <c r="BY18" s="5" t="b">
        <v>1</v>
      </c>
      <c r="BZ18" s="5" t="b">
        <v>1</v>
      </c>
      <c r="CA18" s="5" t="b">
        <v>1</v>
      </c>
      <c r="CB18" s="5" t="b">
        <v>1</v>
      </c>
      <c r="CC18" s="5" t="b">
        <v>1</v>
      </c>
      <c r="CD18" s="5" t="b">
        <v>1</v>
      </c>
      <c r="CE18" s="5" t="b">
        <v>1</v>
      </c>
      <c r="CF18" s="5" t="b">
        <v>1</v>
      </c>
      <c r="CG18" s="5" t="b">
        <v>1</v>
      </c>
      <c r="CH18" s="5" t="b">
        <v>1</v>
      </c>
      <c r="CI18" s="5" t="b">
        <v>1</v>
      </c>
      <c r="CJ18" s="5" t="b">
        <v>1</v>
      </c>
      <c r="CK18" s="5" t="b">
        <v>0</v>
      </c>
      <c r="CL18" s="5" t="b">
        <v>0</v>
      </c>
      <c r="CM18" s="5" t="b">
        <v>0</v>
      </c>
    </row>
    <row r="19" spans="1:91" ht="60" x14ac:dyDescent="0.25">
      <c r="A19" s="188">
        <v>45720</v>
      </c>
      <c r="B19" s="5" t="s">
        <v>44</v>
      </c>
      <c r="C19" s="5" t="s">
        <v>5</v>
      </c>
      <c r="D19" s="5" t="s">
        <v>8</v>
      </c>
      <c r="E19" s="5" t="s">
        <v>10</v>
      </c>
      <c r="F19" s="5" t="s">
        <v>13</v>
      </c>
      <c r="G19" s="5" t="s">
        <v>15</v>
      </c>
      <c r="H19" s="5" t="s">
        <v>17</v>
      </c>
      <c r="I19" s="5" t="s">
        <v>19</v>
      </c>
      <c r="M19" s="5" t="s">
        <v>9</v>
      </c>
      <c r="N19" s="5" t="s">
        <v>11</v>
      </c>
      <c r="O19" s="5" t="s">
        <v>14</v>
      </c>
      <c r="P19" s="5" t="s">
        <v>16</v>
      </c>
      <c r="Q19" s="5" t="s">
        <v>18</v>
      </c>
      <c r="R19" s="5" t="s">
        <v>20</v>
      </c>
      <c r="V19" s="5" t="s">
        <v>72</v>
      </c>
      <c r="W19" s="5" t="s">
        <v>73</v>
      </c>
      <c r="AV19" s="5" t="s">
        <v>70</v>
      </c>
      <c r="BV19" s="5" t="b">
        <v>1</v>
      </c>
      <c r="BW19" s="5" t="b">
        <v>0</v>
      </c>
      <c r="BX19" s="5" t="b">
        <v>0</v>
      </c>
      <c r="BY19" s="5" t="b">
        <v>0</v>
      </c>
      <c r="BZ19" s="5" t="b">
        <v>0</v>
      </c>
      <c r="CA19" s="5" t="b">
        <v>0</v>
      </c>
      <c r="CB19" s="5" t="b">
        <v>0</v>
      </c>
      <c r="CC19" s="5" t="b">
        <v>0</v>
      </c>
      <c r="CD19" s="5" t="b">
        <v>0</v>
      </c>
      <c r="CE19" s="5" t="b">
        <v>1</v>
      </c>
      <c r="CF19" s="5" t="b">
        <v>1</v>
      </c>
      <c r="CG19" s="5" t="b">
        <v>1</v>
      </c>
      <c r="CH19" s="5" t="b">
        <v>1</v>
      </c>
      <c r="CI19" s="5" t="b">
        <v>1</v>
      </c>
      <c r="CJ19" s="5" t="b">
        <v>1</v>
      </c>
      <c r="CK19" s="5" t="b">
        <v>0</v>
      </c>
      <c r="CL19" s="5" t="b">
        <v>0</v>
      </c>
      <c r="CM19" s="5" t="b">
        <v>0</v>
      </c>
    </row>
    <row r="20" spans="1:91" ht="45" x14ac:dyDescent="0.25">
      <c r="A20" s="188">
        <v>45720</v>
      </c>
      <c r="B20" s="5" t="s">
        <v>56</v>
      </c>
      <c r="C20" s="5" t="s">
        <v>34</v>
      </c>
      <c r="D20" s="5" t="s">
        <v>8</v>
      </c>
      <c r="E20" s="5" t="s">
        <v>10</v>
      </c>
      <c r="F20" s="5" t="s">
        <v>35</v>
      </c>
      <c r="G20" s="5" t="s">
        <v>15</v>
      </c>
      <c r="H20" s="5" t="s">
        <v>58</v>
      </c>
      <c r="M20" s="5" t="s">
        <v>9</v>
      </c>
      <c r="N20" s="5" t="s">
        <v>11</v>
      </c>
      <c r="O20" s="5" t="s">
        <v>14</v>
      </c>
      <c r="P20" s="5" t="s">
        <v>16</v>
      </c>
      <c r="Q20" s="5" t="s">
        <v>18</v>
      </c>
      <c r="R20" s="5" t="s">
        <v>20</v>
      </c>
      <c r="V20" s="5" t="s">
        <v>74</v>
      </c>
      <c r="BV20" s="5" t="b">
        <v>1</v>
      </c>
      <c r="BW20" s="5" t="b">
        <v>1</v>
      </c>
      <c r="BX20" s="5" t="b">
        <v>1</v>
      </c>
      <c r="BY20" s="5" t="b">
        <v>1</v>
      </c>
      <c r="BZ20" s="5" t="b">
        <v>1</v>
      </c>
      <c r="CA20" s="5" t="b">
        <v>0</v>
      </c>
      <c r="CB20" s="5" t="b">
        <v>0</v>
      </c>
      <c r="CC20" s="5" t="b">
        <v>0</v>
      </c>
      <c r="CD20" s="5" t="b">
        <v>0</v>
      </c>
      <c r="CE20" s="5" t="b">
        <v>1</v>
      </c>
      <c r="CF20" s="5" t="b">
        <v>1</v>
      </c>
      <c r="CG20" s="5" t="b">
        <v>1</v>
      </c>
      <c r="CH20" s="5" t="b">
        <v>1</v>
      </c>
      <c r="CI20" s="5" t="b">
        <v>1</v>
      </c>
      <c r="CJ20" s="5" t="b">
        <v>0</v>
      </c>
      <c r="CK20" s="5" t="b">
        <v>0</v>
      </c>
      <c r="CL20" s="5" t="b">
        <v>0</v>
      </c>
      <c r="CM20" s="5" t="b">
        <v>0</v>
      </c>
    </row>
    <row r="21" spans="1:91" ht="45" x14ac:dyDescent="0.25">
      <c r="A21" s="188">
        <v>45720</v>
      </c>
      <c r="B21" s="5" t="s">
        <v>6</v>
      </c>
      <c r="C21" s="5" t="s">
        <v>57</v>
      </c>
      <c r="D21" s="5" t="s">
        <v>8</v>
      </c>
      <c r="E21" s="5" t="s">
        <v>10</v>
      </c>
      <c r="F21" s="5" t="s">
        <v>35</v>
      </c>
      <c r="G21" s="5" t="s">
        <v>15</v>
      </c>
      <c r="H21" s="5" t="s">
        <v>59</v>
      </c>
      <c r="I21" s="5" t="s">
        <v>37</v>
      </c>
      <c r="J21" s="5" t="s">
        <v>60</v>
      </c>
      <c r="K21" s="5" t="s">
        <v>39</v>
      </c>
      <c r="L21" s="5" t="s">
        <v>61</v>
      </c>
      <c r="M21" s="5" t="s">
        <v>9</v>
      </c>
      <c r="N21" s="5" t="s">
        <v>11</v>
      </c>
      <c r="O21" s="5" t="s">
        <v>14</v>
      </c>
      <c r="P21" s="5" t="s">
        <v>16</v>
      </c>
      <c r="Q21" s="5" t="s">
        <v>18</v>
      </c>
      <c r="R21" s="5" t="s">
        <v>20</v>
      </c>
      <c r="V21" s="5" t="s">
        <v>75</v>
      </c>
      <c r="W21" s="5" t="s">
        <v>76</v>
      </c>
      <c r="X21" s="5" t="s">
        <v>77</v>
      </c>
      <c r="BV21" s="5" t="b">
        <v>1</v>
      </c>
      <c r="BW21" s="5" t="b">
        <v>1</v>
      </c>
      <c r="BX21" s="5" t="b">
        <v>1</v>
      </c>
      <c r="BY21" s="5" t="b">
        <v>1</v>
      </c>
      <c r="BZ21" s="5" t="b">
        <v>1</v>
      </c>
      <c r="CA21" s="5" t="b">
        <v>1</v>
      </c>
      <c r="CB21" s="5" t="b">
        <v>1</v>
      </c>
      <c r="CC21" s="5" t="b">
        <v>1</v>
      </c>
      <c r="CD21" s="5" t="b">
        <v>1</v>
      </c>
      <c r="CE21" s="5" t="b">
        <v>1</v>
      </c>
      <c r="CF21" s="5" t="b">
        <v>1</v>
      </c>
      <c r="CG21" s="5" t="b">
        <v>1</v>
      </c>
      <c r="CH21" s="5" t="b">
        <v>1</v>
      </c>
      <c r="CI21" s="5" t="b">
        <v>1</v>
      </c>
      <c r="CJ21" s="5" t="b">
        <v>1</v>
      </c>
      <c r="CK21" s="5" t="b">
        <v>0</v>
      </c>
      <c r="CL21" s="5" t="b">
        <v>0</v>
      </c>
      <c r="CM21" s="5" t="b">
        <v>0</v>
      </c>
    </row>
    <row r="22" spans="1:91" ht="60" x14ac:dyDescent="0.25">
      <c r="A22" s="188">
        <v>45721</v>
      </c>
      <c r="B22" s="5" t="s">
        <v>44</v>
      </c>
      <c r="C22" s="5" t="s">
        <v>5</v>
      </c>
      <c r="D22" s="5" t="s">
        <v>8</v>
      </c>
      <c r="E22" s="5" t="s">
        <v>10</v>
      </c>
      <c r="F22" s="5" t="s">
        <v>13</v>
      </c>
      <c r="G22" s="5" t="s">
        <v>15</v>
      </c>
      <c r="H22" s="5" t="s">
        <v>17</v>
      </c>
      <c r="I22" s="5" t="s">
        <v>19</v>
      </c>
      <c r="M22" s="5" t="s">
        <v>9</v>
      </c>
      <c r="N22" s="5" t="s">
        <v>11</v>
      </c>
      <c r="O22" s="5" t="s">
        <v>14</v>
      </c>
      <c r="P22" s="5" t="s">
        <v>16</v>
      </c>
      <c r="Q22" s="5" t="s">
        <v>18</v>
      </c>
      <c r="R22" s="5" t="s">
        <v>20</v>
      </c>
      <c r="V22" s="5" t="s">
        <v>78</v>
      </c>
      <c r="BV22" s="5" t="b">
        <v>1</v>
      </c>
      <c r="BW22" s="5" t="b">
        <v>1</v>
      </c>
      <c r="BX22" s="5" t="b">
        <v>1</v>
      </c>
      <c r="BY22" s="5" t="b">
        <v>1</v>
      </c>
      <c r="BZ22" s="5" t="b">
        <v>0</v>
      </c>
      <c r="CA22" s="5" t="b">
        <v>1</v>
      </c>
      <c r="CB22" s="5" t="b">
        <v>0</v>
      </c>
      <c r="CC22" s="5" t="b">
        <v>0</v>
      </c>
      <c r="CD22" s="5" t="b">
        <v>0</v>
      </c>
      <c r="CE22" s="5" t="b">
        <v>1</v>
      </c>
      <c r="CF22" s="5" t="b">
        <v>1</v>
      </c>
      <c r="CG22" s="5" t="b">
        <v>1</v>
      </c>
      <c r="CH22" s="5" t="b">
        <v>1</v>
      </c>
      <c r="CI22" s="5" t="b">
        <v>1</v>
      </c>
      <c r="CJ22" s="5" t="b">
        <v>1</v>
      </c>
      <c r="CK22" s="5" t="b">
        <v>0</v>
      </c>
      <c r="CL22" s="5" t="b">
        <v>0</v>
      </c>
      <c r="CM22" s="5" t="b">
        <v>0</v>
      </c>
    </row>
    <row r="23" spans="1:91" ht="45" x14ac:dyDescent="0.25">
      <c r="A23" s="188">
        <v>45721</v>
      </c>
      <c r="B23" s="5" t="s">
        <v>56</v>
      </c>
      <c r="C23" s="5" t="s">
        <v>34</v>
      </c>
      <c r="D23" s="5" t="s">
        <v>8</v>
      </c>
      <c r="E23" s="5" t="s">
        <v>10</v>
      </c>
      <c r="F23" s="5" t="s">
        <v>35</v>
      </c>
      <c r="G23" s="5" t="s">
        <v>15</v>
      </c>
      <c r="H23" s="5" t="s">
        <v>58</v>
      </c>
      <c r="M23" s="5" t="s">
        <v>9</v>
      </c>
      <c r="N23" s="5" t="s">
        <v>11</v>
      </c>
      <c r="O23" s="5" t="s">
        <v>14</v>
      </c>
      <c r="P23" s="5" t="s">
        <v>16</v>
      </c>
      <c r="Q23" s="5" t="s">
        <v>18</v>
      </c>
      <c r="R23" s="5" t="s">
        <v>20</v>
      </c>
      <c r="BV23" s="5" t="b">
        <v>1</v>
      </c>
      <c r="BW23" s="5" t="b">
        <v>1</v>
      </c>
      <c r="BX23" s="5" t="b">
        <v>1</v>
      </c>
      <c r="BY23" s="5" t="b">
        <v>1</v>
      </c>
      <c r="BZ23" s="5" t="b">
        <v>1</v>
      </c>
      <c r="CA23" s="5" t="b">
        <v>0</v>
      </c>
      <c r="CB23" s="5" t="b">
        <v>0</v>
      </c>
      <c r="CC23" s="5" t="b">
        <v>0</v>
      </c>
      <c r="CD23" s="5" t="b">
        <v>0</v>
      </c>
      <c r="CE23" s="5" t="b">
        <v>1</v>
      </c>
      <c r="CF23" s="5" t="b">
        <v>1</v>
      </c>
      <c r="CG23" s="5" t="b">
        <v>1</v>
      </c>
      <c r="CH23" s="5" t="b">
        <v>1</v>
      </c>
      <c r="CI23" s="5" t="b">
        <v>1</v>
      </c>
      <c r="CJ23" s="5" t="b">
        <v>0</v>
      </c>
      <c r="CK23" s="5" t="b">
        <v>0</v>
      </c>
      <c r="CL23" s="5" t="b">
        <v>0</v>
      </c>
      <c r="CM23" s="5" t="b">
        <v>0</v>
      </c>
    </row>
    <row r="24" spans="1:91" ht="45" x14ac:dyDescent="0.25">
      <c r="A24" s="188">
        <v>45721</v>
      </c>
      <c r="B24" s="5" t="s">
        <v>6</v>
      </c>
      <c r="C24" s="5" t="s">
        <v>57</v>
      </c>
      <c r="D24" s="5" t="s">
        <v>8</v>
      </c>
      <c r="E24" s="5" t="s">
        <v>10</v>
      </c>
      <c r="F24" s="5" t="s">
        <v>35</v>
      </c>
      <c r="G24" s="5" t="s">
        <v>15</v>
      </c>
      <c r="H24" s="5" t="s">
        <v>59</v>
      </c>
      <c r="I24" s="5" t="s">
        <v>37</v>
      </c>
      <c r="J24" s="5" t="s">
        <v>60</v>
      </c>
      <c r="K24" s="5" t="s">
        <v>39</v>
      </c>
      <c r="L24" s="5" t="s">
        <v>61</v>
      </c>
      <c r="M24" s="5" t="s">
        <v>9</v>
      </c>
      <c r="N24" s="5" t="s">
        <v>11</v>
      </c>
      <c r="O24" s="5" t="s">
        <v>14</v>
      </c>
      <c r="P24" s="5" t="s">
        <v>16</v>
      </c>
      <c r="Q24" s="5" t="s">
        <v>18</v>
      </c>
      <c r="R24" s="5" t="s">
        <v>20</v>
      </c>
      <c r="BV24" s="5" t="b">
        <v>1</v>
      </c>
      <c r="BW24" s="5" t="b">
        <v>1</v>
      </c>
      <c r="BX24" s="5" t="b">
        <v>1</v>
      </c>
      <c r="BY24" s="5" t="b">
        <v>1</v>
      </c>
      <c r="BZ24" s="5" t="b">
        <v>1</v>
      </c>
      <c r="CA24" s="5" t="b">
        <v>1</v>
      </c>
      <c r="CB24" s="5" t="b">
        <v>1</v>
      </c>
      <c r="CC24" s="5" t="b">
        <v>1</v>
      </c>
      <c r="CD24" s="5" t="b">
        <v>1</v>
      </c>
      <c r="CE24" s="5" t="b">
        <v>1</v>
      </c>
      <c r="CF24" s="5" t="b">
        <v>1</v>
      </c>
      <c r="CG24" s="5" t="b">
        <v>1</v>
      </c>
      <c r="CH24" s="5" t="b">
        <v>1</v>
      </c>
      <c r="CI24" s="5" t="b">
        <v>1</v>
      </c>
      <c r="CJ24" s="5" t="b">
        <v>1</v>
      </c>
      <c r="CK24" s="5" t="b">
        <v>0</v>
      </c>
      <c r="CL24" s="5" t="b">
        <v>0</v>
      </c>
      <c r="CM24" s="5" t="b">
        <v>0</v>
      </c>
    </row>
    <row r="25" spans="1:91" ht="60" x14ac:dyDescent="0.25">
      <c r="A25" s="188">
        <v>45722</v>
      </c>
      <c r="B25" s="5" t="s">
        <v>44</v>
      </c>
      <c r="C25" s="5" t="s">
        <v>5</v>
      </c>
      <c r="D25" s="5" t="s">
        <v>8</v>
      </c>
      <c r="E25" s="5" t="s">
        <v>10</v>
      </c>
      <c r="F25" s="5" t="s">
        <v>13</v>
      </c>
      <c r="G25" s="5" t="s">
        <v>15</v>
      </c>
      <c r="H25" s="5" t="s">
        <v>17</v>
      </c>
      <c r="I25" s="5" t="s">
        <v>19</v>
      </c>
      <c r="M25" s="5" t="s">
        <v>9</v>
      </c>
      <c r="N25" s="5" t="s">
        <v>11</v>
      </c>
      <c r="O25" s="5" t="s">
        <v>14</v>
      </c>
      <c r="P25" s="5" t="s">
        <v>16</v>
      </c>
      <c r="Q25" s="5" t="s">
        <v>18</v>
      </c>
      <c r="R25" s="5" t="s">
        <v>20</v>
      </c>
      <c r="V25" s="5" t="s">
        <v>79</v>
      </c>
      <c r="W25" s="5" t="s">
        <v>80</v>
      </c>
      <c r="X25" s="5" t="s">
        <v>81</v>
      </c>
      <c r="BV25" s="5" t="b">
        <v>1</v>
      </c>
      <c r="BW25" s="5" t="b">
        <v>1</v>
      </c>
      <c r="BX25" s="5" t="b">
        <v>1</v>
      </c>
      <c r="BY25" s="5" t="b">
        <v>1</v>
      </c>
      <c r="BZ25" s="5" t="b">
        <v>1</v>
      </c>
      <c r="CA25" s="5" t="b">
        <v>1</v>
      </c>
      <c r="CB25" s="5" t="b">
        <v>0</v>
      </c>
      <c r="CC25" s="5" t="b">
        <v>0</v>
      </c>
      <c r="CD25" s="5" t="b">
        <v>0</v>
      </c>
      <c r="CE25" s="5" t="b">
        <v>1</v>
      </c>
      <c r="CF25" s="5" t="b">
        <v>1</v>
      </c>
      <c r="CG25" s="5" t="b">
        <v>1</v>
      </c>
      <c r="CH25" s="5" t="b">
        <v>1</v>
      </c>
      <c r="CI25" s="5" t="b">
        <v>1</v>
      </c>
      <c r="CJ25" s="5" t="b">
        <v>1</v>
      </c>
      <c r="CK25" s="5" t="b">
        <v>0</v>
      </c>
      <c r="CL25" s="5" t="b">
        <v>0</v>
      </c>
      <c r="CM25" s="5" t="b">
        <v>0</v>
      </c>
    </row>
    <row r="26" spans="1:91" ht="45" x14ac:dyDescent="0.25">
      <c r="A26" s="188">
        <v>45722</v>
      </c>
      <c r="B26" s="5" t="s">
        <v>56</v>
      </c>
      <c r="C26" s="5" t="s">
        <v>34</v>
      </c>
      <c r="D26" s="5" t="s">
        <v>8</v>
      </c>
      <c r="E26" s="5" t="s">
        <v>10</v>
      </c>
      <c r="F26" s="5" t="s">
        <v>35</v>
      </c>
      <c r="G26" s="5" t="s">
        <v>15</v>
      </c>
      <c r="H26" s="5" t="s">
        <v>58</v>
      </c>
      <c r="M26" s="5" t="s">
        <v>9</v>
      </c>
      <c r="N26" s="5" t="s">
        <v>11</v>
      </c>
      <c r="O26" s="5" t="s">
        <v>14</v>
      </c>
      <c r="P26" s="5" t="s">
        <v>16</v>
      </c>
      <c r="Q26" s="5" t="s">
        <v>18</v>
      </c>
      <c r="R26" s="5" t="s">
        <v>20</v>
      </c>
      <c r="V26" s="5" t="s">
        <v>82</v>
      </c>
      <c r="AV26" s="5" t="s">
        <v>83</v>
      </c>
      <c r="BV26" s="5" t="b">
        <v>1</v>
      </c>
      <c r="BW26" s="5" t="b">
        <v>1</v>
      </c>
      <c r="BX26" s="5" t="b">
        <v>1</v>
      </c>
      <c r="BY26" s="5" t="b">
        <v>1</v>
      </c>
      <c r="BZ26" s="5" t="b">
        <v>1</v>
      </c>
      <c r="CA26" s="5" t="b">
        <v>0</v>
      </c>
      <c r="CB26" s="5" t="b">
        <v>0</v>
      </c>
      <c r="CC26" s="5" t="b">
        <v>0</v>
      </c>
      <c r="CD26" s="5" t="b">
        <v>0</v>
      </c>
      <c r="CE26" s="5" t="b">
        <v>1</v>
      </c>
      <c r="CF26" s="5" t="b">
        <v>1</v>
      </c>
      <c r="CG26" s="5" t="b">
        <v>1</v>
      </c>
      <c r="CH26" s="5" t="b">
        <v>1</v>
      </c>
      <c r="CI26" s="5" t="b">
        <v>1</v>
      </c>
      <c r="CJ26" s="5" t="b">
        <v>1</v>
      </c>
      <c r="CK26" s="5" t="b">
        <v>0</v>
      </c>
      <c r="CL26" s="5" t="b">
        <v>0</v>
      </c>
      <c r="CM26" s="5" t="b">
        <v>0</v>
      </c>
    </row>
    <row r="27" spans="1:91" ht="45" x14ac:dyDescent="0.25">
      <c r="A27" s="188">
        <v>45722</v>
      </c>
      <c r="B27" s="5" t="s">
        <v>6</v>
      </c>
      <c r="C27" s="5" t="s">
        <v>57</v>
      </c>
      <c r="D27" s="5" t="s">
        <v>8</v>
      </c>
      <c r="E27" s="5" t="s">
        <v>10</v>
      </c>
      <c r="F27" s="5" t="s">
        <v>35</v>
      </c>
      <c r="G27" s="5" t="s">
        <v>15</v>
      </c>
      <c r="H27" s="5" t="s">
        <v>59</v>
      </c>
      <c r="I27" s="5" t="s">
        <v>37</v>
      </c>
      <c r="J27" s="5" t="s">
        <v>60</v>
      </c>
      <c r="K27" s="5" t="s">
        <v>39</v>
      </c>
      <c r="L27" s="5" t="s">
        <v>61</v>
      </c>
      <c r="M27" s="5" t="s">
        <v>9</v>
      </c>
      <c r="N27" s="5" t="s">
        <v>11</v>
      </c>
      <c r="O27" s="5" t="s">
        <v>14</v>
      </c>
      <c r="P27" s="5" t="s">
        <v>16</v>
      </c>
      <c r="Q27" s="5" t="s">
        <v>18</v>
      </c>
      <c r="R27" s="5" t="s">
        <v>20</v>
      </c>
      <c r="BV27" s="5" t="b">
        <v>1</v>
      </c>
      <c r="BW27" s="5" t="b">
        <v>1</v>
      </c>
      <c r="BX27" s="5" t="b">
        <v>1</v>
      </c>
      <c r="BY27" s="5" t="b">
        <v>1</v>
      </c>
      <c r="BZ27" s="5" t="b">
        <v>1</v>
      </c>
      <c r="CA27" s="5" t="b">
        <v>1</v>
      </c>
      <c r="CB27" s="5" t="b">
        <v>1</v>
      </c>
      <c r="CC27" s="5" t="b">
        <v>1</v>
      </c>
      <c r="CD27" s="5" t="b">
        <v>1</v>
      </c>
      <c r="CE27" s="5" t="b">
        <v>1</v>
      </c>
      <c r="CF27" s="5" t="b">
        <v>1</v>
      </c>
      <c r="CG27" s="5" t="b">
        <v>1</v>
      </c>
      <c r="CH27" s="5" t="b">
        <v>1</v>
      </c>
      <c r="CI27" s="5" t="b">
        <v>1</v>
      </c>
      <c r="CJ27" s="5" t="b">
        <v>1</v>
      </c>
      <c r="CK27" s="5" t="b">
        <v>0</v>
      </c>
      <c r="CL27" s="5" t="b">
        <v>0</v>
      </c>
      <c r="CM27" s="5" t="b">
        <v>0</v>
      </c>
    </row>
    <row r="28" spans="1:91" ht="45" x14ac:dyDescent="0.25">
      <c r="A28" s="188">
        <v>45723</v>
      </c>
      <c r="B28" s="5" t="s">
        <v>64</v>
      </c>
      <c r="C28" s="5" t="s">
        <v>5</v>
      </c>
      <c r="D28" s="5" t="s">
        <v>8</v>
      </c>
      <c r="E28" s="5" t="s">
        <v>10</v>
      </c>
      <c r="F28" s="5" t="s">
        <v>35</v>
      </c>
      <c r="G28" s="5" t="s">
        <v>15</v>
      </c>
      <c r="H28" s="5" t="s">
        <v>65</v>
      </c>
      <c r="M28" s="5" t="s">
        <v>9</v>
      </c>
      <c r="N28" s="5" t="s">
        <v>11</v>
      </c>
      <c r="O28" s="5" t="s">
        <v>14</v>
      </c>
      <c r="P28" s="5" t="s">
        <v>16</v>
      </c>
      <c r="Q28" s="5" t="s">
        <v>18</v>
      </c>
      <c r="R28" s="5" t="s">
        <v>20</v>
      </c>
      <c r="V28" s="5" t="s">
        <v>84</v>
      </c>
      <c r="BV28" s="5" t="b">
        <v>1</v>
      </c>
      <c r="BW28" s="5" t="b">
        <v>1</v>
      </c>
      <c r="BX28" s="5" t="b">
        <v>1</v>
      </c>
      <c r="BY28" s="5" t="b">
        <v>1</v>
      </c>
      <c r="BZ28" s="5" t="b">
        <v>0</v>
      </c>
      <c r="CA28" s="5" t="b">
        <v>0</v>
      </c>
      <c r="CB28" s="5" t="b">
        <v>0</v>
      </c>
      <c r="CC28" s="5" t="b">
        <v>0</v>
      </c>
      <c r="CD28" s="5" t="b">
        <v>0</v>
      </c>
      <c r="CE28" s="5" t="b">
        <v>1</v>
      </c>
      <c r="CF28" s="5" t="b">
        <v>1</v>
      </c>
      <c r="CG28" s="5" t="b">
        <v>1</v>
      </c>
      <c r="CH28" s="5" t="b">
        <v>1</v>
      </c>
      <c r="CI28" s="5" t="b">
        <v>1</v>
      </c>
      <c r="CJ28" s="5" t="b">
        <v>1</v>
      </c>
      <c r="CK28" s="5" t="b">
        <v>0</v>
      </c>
      <c r="CL28" s="5" t="b">
        <v>0</v>
      </c>
      <c r="CM28" s="5" t="b">
        <v>0</v>
      </c>
    </row>
    <row r="29" spans="1:91" ht="60" x14ac:dyDescent="0.25">
      <c r="A29" s="188">
        <v>45724</v>
      </c>
      <c r="B29" s="5" t="s">
        <v>66</v>
      </c>
      <c r="C29" s="5" t="s">
        <v>57</v>
      </c>
      <c r="D29" s="5" t="s">
        <v>8</v>
      </c>
      <c r="E29" s="5" t="s">
        <v>10</v>
      </c>
      <c r="F29" s="5" t="s">
        <v>35</v>
      </c>
      <c r="G29" s="5" t="s">
        <v>15</v>
      </c>
      <c r="H29" s="5" t="s">
        <v>67</v>
      </c>
      <c r="I29" s="5" t="s">
        <v>37</v>
      </c>
      <c r="J29" s="5" t="s">
        <v>60</v>
      </c>
      <c r="K29" s="5" t="s">
        <v>39</v>
      </c>
      <c r="L29" s="5" t="s">
        <v>85</v>
      </c>
      <c r="M29" s="5" t="s">
        <v>9</v>
      </c>
      <c r="N29" s="5" t="s">
        <v>11</v>
      </c>
      <c r="O29" s="5" t="s">
        <v>14</v>
      </c>
      <c r="P29" s="5" t="s">
        <v>16</v>
      </c>
      <c r="Q29" s="5" t="s">
        <v>18</v>
      </c>
      <c r="R29" s="5" t="s">
        <v>20</v>
      </c>
      <c r="V29" s="5" t="s">
        <v>86</v>
      </c>
      <c r="W29" s="5" t="s">
        <v>87</v>
      </c>
      <c r="AI29" s="5">
        <v>2273836</v>
      </c>
      <c r="AJ29" s="5">
        <v>2260342</v>
      </c>
      <c r="AV29" s="5" t="s">
        <v>88</v>
      </c>
      <c r="BV29" s="5" t="b">
        <v>1</v>
      </c>
      <c r="BW29" s="5" t="b">
        <v>1</v>
      </c>
      <c r="BX29" s="5" t="b">
        <v>1</v>
      </c>
      <c r="BY29" s="5" t="b">
        <v>1</v>
      </c>
      <c r="BZ29" s="5" t="b">
        <v>1</v>
      </c>
      <c r="CA29" s="5" t="b">
        <v>1</v>
      </c>
      <c r="CB29" s="5" t="b">
        <v>1</v>
      </c>
      <c r="CC29" s="5" t="b">
        <v>1</v>
      </c>
      <c r="CD29" s="5" t="b">
        <v>0</v>
      </c>
      <c r="CE29" s="5" t="b">
        <v>1</v>
      </c>
      <c r="CF29" s="5" t="b">
        <v>1</v>
      </c>
      <c r="CG29" s="5" t="b">
        <v>1</v>
      </c>
      <c r="CH29" s="5" t="b">
        <v>1</v>
      </c>
      <c r="CI29" s="5" t="b">
        <v>1</v>
      </c>
      <c r="CJ29" s="5" t="b">
        <v>1</v>
      </c>
      <c r="CK29" s="5" t="b">
        <v>0</v>
      </c>
      <c r="CL29" s="5" t="b">
        <v>0</v>
      </c>
      <c r="CM29" s="5" t="b">
        <v>0</v>
      </c>
    </row>
    <row r="30" spans="1:91" ht="90" x14ac:dyDescent="0.25">
      <c r="A30" s="188">
        <v>45725</v>
      </c>
      <c r="B30" s="5" t="s">
        <v>44</v>
      </c>
      <c r="C30" s="5" t="s">
        <v>34</v>
      </c>
      <c r="D30" s="5" t="s">
        <v>8</v>
      </c>
      <c r="E30" s="5" t="s">
        <v>10</v>
      </c>
      <c r="F30" s="5" t="s">
        <v>13</v>
      </c>
      <c r="G30" s="5" t="s">
        <v>15</v>
      </c>
      <c r="H30" s="5" t="s">
        <v>17</v>
      </c>
      <c r="I30" s="5" t="s">
        <v>19</v>
      </c>
      <c r="M30" s="5" t="s">
        <v>9</v>
      </c>
      <c r="N30" s="5" t="s">
        <v>11</v>
      </c>
      <c r="O30" s="5" t="s">
        <v>14</v>
      </c>
      <c r="P30" s="5" t="s">
        <v>16</v>
      </c>
      <c r="Q30" s="5" t="s">
        <v>18</v>
      </c>
      <c r="R30" s="5" t="s">
        <v>20</v>
      </c>
      <c r="V30" s="5" t="s">
        <v>89</v>
      </c>
      <c r="W30" s="5" t="s">
        <v>90</v>
      </c>
      <c r="AV30" s="5" t="s">
        <v>91</v>
      </c>
      <c r="AW30" s="5" t="s">
        <v>92</v>
      </c>
      <c r="BV30" s="5" t="b">
        <v>1</v>
      </c>
      <c r="BW30" s="5" t="b">
        <v>1</v>
      </c>
      <c r="BX30" s="5" t="b">
        <v>1</v>
      </c>
      <c r="BY30" s="5" t="b">
        <v>1</v>
      </c>
      <c r="BZ30" s="5" t="b">
        <v>0</v>
      </c>
      <c r="CA30" s="5" t="b">
        <v>0</v>
      </c>
      <c r="CB30" s="5" t="b">
        <v>0</v>
      </c>
      <c r="CC30" s="5" t="b">
        <v>0</v>
      </c>
      <c r="CD30" s="5" t="b">
        <v>0</v>
      </c>
      <c r="CE30" s="5" t="b">
        <v>1</v>
      </c>
      <c r="CF30" s="5" t="b">
        <v>1</v>
      </c>
      <c r="CG30" s="5" t="b">
        <v>1</v>
      </c>
      <c r="CH30" s="5" t="b">
        <v>1</v>
      </c>
      <c r="CI30" s="5" t="b">
        <v>1</v>
      </c>
      <c r="CJ30" s="5" t="b">
        <v>1</v>
      </c>
      <c r="CK30" s="5" t="b">
        <v>0</v>
      </c>
      <c r="CL30" s="5" t="b">
        <v>0</v>
      </c>
      <c r="CM30" s="5" t="b">
        <v>0</v>
      </c>
    </row>
    <row r="31" spans="1:91" ht="45" x14ac:dyDescent="0.25">
      <c r="A31" s="188">
        <v>45725</v>
      </c>
      <c r="B31" s="5" t="s">
        <v>56</v>
      </c>
      <c r="C31" s="5" t="s">
        <v>5</v>
      </c>
      <c r="D31" s="5" t="s">
        <v>8</v>
      </c>
      <c r="E31" s="5" t="s">
        <v>10</v>
      </c>
      <c r="F31" s="5" t="s">
        <v>35</v>
      </c>
      <c r="G31" s="5" t="s">
        <v>15</v>
      </c>
      <c r="H31" s="5" t="s">
        <v>93</v>
      </c>
      <c r="M31" s="5" t="s">
        <v>9</v>
      </c>
      <c r="N31" s="5" t="s">
        <v>11</v>
      </c>
      <c r="O31" s="5" t="s">
        <v>14</v>
      </c>
      <c r="P31" s="5" t="s">
        <v>16</v>
      </c>
      <c r="Q31" s="5" t="s">
        <v>18</v>
      </c>
      <c r="R31" s="5" t="s">
        <v>20</v>
      </c>
      <c r="BV31" s="5" t="b">
        <v>1</v>
      </c>
      <c r="BW31" s="5" t="b">
        <v>1</v>
      </c>
      <c r="BX31" s="5" t="b">
        <v>1</v>
      </c>
      <c r="BY31" s="5" t="b">
        <v>1</v>
      </c>
      <c r="BZ31" s="5" t="b">
        <v>1</v>
      </c>
      <c r="CA31" s="5" t="b">
        <v>0</v>
      </c>
      <c r="CB31" s="5" t="b">
        <v>0</v>
      </c>
      <c r="CC31" s="5" t="b">
        <v>0</v>
      </c>
      <c r="CD31" s="5" t="b">
        <v>0</v>
      </c>
      <c r="CE31" s="5" t="b">
        <v>1</v>
      </c>
      <c r="CF31" s="5" t="b">
        <v>1</v>
      </c>
      <c r="CG31" s="5" t="b">
        <v>1</v>
      </c>
      <c r="CH31" s="5" t="b">
        <v>1</v>
      </c>
      <c r="CI31" s="5" t="b">
        <v>1</v>
      </c>
      <c r="CJ31" s="5" t="b">
        <v>1</v>
      </c>
      <c r="CK31" s="5" t="b">
        <v>0</v>
      </c>
      <c r="CL31" s="5" t="b">
        <v>0</v>
      </c>
      <c r="CM31" s="5" t="b">
        <v>0</v>
      </c>
    </row>
    <row r="32" spans="1:91" ht="60" x14ac:dyDescent="0.25">
      <c r="A32" s="188">
        <v>45725</v>
      </c>
      <c r="B32" s="5" t="s">
        <v>6</v>
      </c>
      <c r="C32" s="5" t="s">
        <v>57</v>
      </c>
      <c r="D32" s="5" t="s">
        <v>8</v>
      </c>
      <c r="E32" s="5" t="s">
        <v>10</v>
      </c>
      <c r="F32" s="5" t="s">
        <v>35</v>
      </c>
      <c r="G32" s="5" t="s">
        <v>15</v>
      </c>
      <c r="H32" s="5" t="s">
        <v>59</v>
      </c>
      <c r="I32" s="5" t="s">
        <v>37</v>
      </c>
      <c r="J32" s="5" t="s">
        <v>60</v>
      </c>
      <c r="K32" s="5" t="s">
        <v>39</v>
      </c>
      <c r="L32" s="5" t="s">
        <v>85</v>
      </c>
      <c r="M32" s="5" t="s">
        <v>9</v>
      </c>
      <c r="N32" s="5" t="s">
        <v>11</v>
      </c>
      <c r="O32" s="5" t="s">
        <v>14</v>
      </c>
      <c r="P32" s="5" t="s">
        <v>16</v>
      </c>
      <c r="Q32" s="5" t="s">
        <v>18</v>
      </c>
      <c r="R32" s="5" t="s">
        <v>20</v>
      </c>
      <c r="V32" s="5" t="s">
        <v>94</v>
      </c>
      <c r="W32" s="5" t="s">
        <v>95</v>
      </c>
      <c r="X32" s="5" t="s">
        <v>96</v>
      </c>
      <c r="AI32" s="5">
        <v>2276363</v>
      </c>
      <c r="AJ32" s="5">
        <v>2276362</v>
      </c>
      <c r="AK32" s="5">
        <v>2277008</v>
      </c>
      <c r="BV32" s="5" t="b">
        <v>1</v>
      </c>
      <c r="BW32" s="5" t="b">
        <v>1</v>
      </c>
      <c r="BX32" s="5" t="b">
        <v>1</v>
      </c>
      <c r="BY32" s="5" t="b">
        <v>1</v>
      </c>
      <c r="BZ32" s="5" t="b">
        <v>1</v>
      </c>
      <c r="CA32" s="5" t="b">
        <v>1</v>
      </c>
      <c r="CB32" s="5" t="b">
        <v>1</v>
      </c>
      <c r="CC32" s="5" t="b">
        <v>1</v>
      </c>
      <c r="CD32" s="5" t="b">
        <v>1</v>
      </c>
      <c r="CE32" s="5" t="b">
        <v>1</v>
      </c>
      <c r="CF32" s="5" t="b">
        <v>1</v>
      </c>
      <c r="CG32" s="5" t="b">
        <v>1</v>
      </c>
      <c r="CH32" s="5" t="b">
        <v>1</v>
      </c>
      <c r="CI32" s="5" t="b">
        <v>1</v>
      </c>
      <c r="CJ32" s="5" t="b">
        <v>1</v>
      </c>
      <c r="CK32" s="5" t="b">
        <v>0</v>
      </c>
      <c r="CL32" s="5" t="b">
        <v>0</v>
      </c>
      <c r="CM32" s="5" t="b">
        <v>0</v>
      </c>
    </row>
    <row r="33" spans="1:91" ht="135" x14ac:dyDescent="0.25">
      <c r="A33" s="188">
        <v>45726</v>
      </c>
      <c r="B33" s="5" t="s">
        <v>44</v>
      </c>
      <c r="C33" s="5" t="s">
        <v>34</v>
      </c>
      <c r="D33" s="5" t="s">
        <v>8</v>
      </c>
      <c r="E33" s="5" t="s">
        <v>10</v>
      </c>
      <c r="F33" s="5" t="s">
        <v>13</v>
      </c>
      <c r="G33" s="5" t="s">
        <v>15</v>
      </c>
      <c r="H33" s="5" t="s">
        <v>17</v>
      </c>
      <c r="I33" s="5" t="s">
        <v>19</v>
      </c>
      <c r="M33" s="5" t="s">
        <v>9</v>
      </c>
      <c r="N33" s="5" t="s">
        <v>11</v>
      </c>
      <c r="O33" s="5" t="s">
        <v>14</v>
      </c>
      <c r="P33" s="5" t="s">
        <v>16</v>
      </c>
      <c r="Q33" s="5" t="s">
        <v>18</v>
      </c>
      <c r="R33" s="5" t="s">
        <v>20</v>
      </c>
      <c r="V33" s="5" t="s">
        <v>97</v>
      </c>
      <c r="W33" s="5" t="s">
        <v>90</v>
      </c>
      <c r="X33" s="5" t="s">
        <v>98</v>
      </c>
      <c r="AV33" s="5" t="s">
        <v>99</v>
      </c>
      <c r="AW33" s="5" t="s">
        <v>92</v>
      </c>
      <c r="AX33" s="5" t="s">
        <v>100</v>
      </c>
      <c r="BV33" s="5" t="b">
        <v>1</v>
      </c>
      <c r="BW33" s="5" t="b">
        <v>1</v>
      </c>
      <c r="BX33" s="5" t="b">
        <v>1</v>
      </c>
      <c r="BY33" s="5" t="b">
        <v>1</v>
      </c>
      <c r="BZ33" s="5" t="b">
        <v>0</v>
      </c>
      <c r="CA33" s="5" t="b">
        <v>0</v>
      </c>
      <c r="CB33" s="5" t="b">
        <v>0</v>
      </c>
      <c r="CC33" s="5" t="b">
        <v>0</v>
      </c>
      <c r="CD33" s="5" t="b">
        <v>0</v>
      </c>
      <c r="CE33" s="5" t="b">
        <v>1</v>
      </c>
      <c r="CF33" s="5" t="b">
        <v>1</v>
      </c>
      <c r="CG33" s="5" t="b">
        <v>1</v>
      </c>
      <c r="CH33" s="5" t="b">
        <v>1</v>
      </c>
      <c r="CI33" s="5" t="b">
        <v>1</v>
      </c>
      <c r="CJ33" s="5" t="b">
        <v>1</v>
      </c>
      <c r="CK33" s="5" t="b">
        <v>0</v>
      </c>
      <c r="CL33" s="5" t="b">
        <v>0</v>
      </c>
      <c r="CM33" s="5" t="b">
        <v>0</v>
      </c>
    </row>
    <row r="34" spans="1:91" ht="135" x14ac:dyDescent="0.25">
      <c r="A34" s="188">
        <v>45726</v>
      </c>
      <c r="B34" s="5" t="s">
        <v>56</v>
      </c>
      <c r="C34" s="5" t="s">
        <v>5</v>
      </c>
      <c r="D34" s="5" t="s">
        <v>8</v>
      </c>
      <c r="E34" s="5" t="s">
        <v>10</v>
      </c>
      <c r="F34" s="5" t="s">
        <v>35</v>
      </c>
      <c r="G34" s="5" t="s">
        <v>15</v>
      </c>
      <c r="H34" s="5" t="s">
        <v>93</v>
      </c>
      <c r="M34" s="5" t="s">
        <v>9</v>
      </c>
      <c r="N34" s="5" t="s">
        <v>11</v>
      </c>
      <c r="O34" s="5" t="s">
        <v>14</v>
      </c>
      <c r="P34" s="5" t="s">
        <v>16</v>
      </c>
      <c r="Q34" s="5" t="s">
        <v>18</v>
      </c>
      <c r="R34" s="5" t="s">
        <v>20</v>
      </c>
      <c r="V34" s="5" t="s">
        <v>101</v>
      </c>
      <c r="AV34" s="5" t="s">
        <v>99</v>
      </c>
      <c r="AW34" s="5" t="s">
        <v>92</v>
      </c>
      <c r="AX34" s="5" t="s">
        <v>100</v>
      </c>
      <c r="AY34" s="5" t="s">
        <v>102</v>
      </c>
      <c r="BV34" s="5" t="b">
        <v>1</v>
      </c>
      <c r="BW34" s="5" t="b">
        <v>1</v>
      </c>
      <c r="BX34" s="5" t="b">
        <v>1</v>
      </c>
      <c r="BY34" s="5" t="b">
        <v>1</v>
      </c>
      <c r="BZ34" s="5" t="b">
        <v>0</v>
      </c>
      <c r="CA34" s="5" t="b">
        <v>0</v>
      </c>
      <c r="CB34" s="5" t="b">
        <v>0</v>
      </c>
      <c r="CC34" s="5" t="b">
        <v>0</v>
      </c>
      <c r="CD34" s="5" t="b">
        <v>0</v>
      </c>
      <c r="CE34" s="5" t="b">
        <v>1</v>
      </c>
      <c r="CF34" s="5" t="b">
        <v>1</v>
      </c>
      <c r="CG34" s="5" t="b">
        <v>1</v>
      </c>
      <c r="CH34" s="5" t="b">
        <v>1</v>
      </c>
      <c r="CI34" s="5" t="b">
        <v>1</v>
      </c>
      <c r="CJ34" s="5" t="b">
        <v>1</v>
      </c>
      <c r="CK34" s="5" t="b">
        <v>0</v>
      </c>
      <c r="CL34" s="5" t="b">
        <v>0</v>
      </c>
      <c r="CM34" s="5" t="b">
        <v>0</v>
      </c>
    </row>
    <row r="35" spans="1:91" ht="90" x14ac:dyDescent="0.25">
      <c r="A35" s="188">
        <v>45726</v>
      </c>
      <c r="B35" s="5" t="s">
        <v>6</v>
      </c>
      <c r="C35" s="5" t="s">
        <v>57</v>
      </c>
      <c r="D35" s="5" t="s">
        <v>8</v>
      </c>
      <c r="E35" s="5" t="s">
        <v>10</v>
      </c>
      <c r="F35" s="5" t="s">
        <v>35</v>
      </c>
      <c r="G35" s="5" t="s">
        <v>15</v>
      </c>
      <c r="H35" s="5" t="s">
        <v>59</v>
      </c>
      <c r="I35" s="5" t="s">
        <v>37</v>
      </c>
      <c r="J35" s="5" t="s">
        <v>60</v>
      </c>
      <c r="K35" s="5" t="s">
        <v>39</v>
      </c>
      <c r="L35" s="5" t="s">
        <v>85</v>
      </c>
      <c r="M35" s="5" t="s">
        <v>9</v>
      </c>
      <c r="N35" s="5" t="s">
        <v>11</v>
      </c>
      <c r="O35" s="5" t="s">
        <v>14</v>
      </c>
      <c r="P35" s="5" t="s">
        <v>16</v>
      </c>
      <c r="Q35" s="5" t="s">
        <v>18</v>
      </c>
      <c r="R35" s="5" t="s">
        <v>20</v>
      </c>
      <c r="V35" s="5" t="s">
        <v>103</v>
      </c>
      <c r="W35" s="5" t="s">
        <v>104</v>
      </c>
      <c r="X35" s="5" t="s">
        <v>105</v>
      </c>
      <c r="Y35" s="5" t="s">
        <v>106</v>
      </c>
      <c r="AI35" s="5">
        <v>2278777</v>
      </c>
      <c r="AJ35" s="5">
        <v>2278849</v>
      </c>
      <c r="AK35" s="5">
        <v>2278825</v>
      </c>
      <c r="AL35" s="5">
        <v>2278822</v>
      </c>
      <c r="BV35" s="5" t="b">
        <v>1</v>
      </c>
      <c r="BW35" s="5" t="b">
        <v>1</v>
      </c>
      <c r="BX35" s="5" t="b">
        <v>1</v>
      </c>
      <c r="BY35" s="5" t="b">
        <v>1</v>
      </c>
      <c r="BZ35" s="5" t="b">
        <v>1</v>
      </c>
      <c r="CA35" s="5" t="b">
        <v>1</v>
      </c>
      <c r="CB35" s="5" t="b">
        <v>1</v>
      </c>
      <c r="CC35" s="5" t="b">
        <v>1</v>
      </c>
      <c r="CD35" s="5" t="b">
        <v>1</v>
      </c>
      <c r="CE35" s="5" t="b">
        <v>1</v>
      </c>
      <c r="CF35" s="5" t="b">
        <v>1</v>
      </c>
      <c r="CG35" s="5" t="b">
        <v>1</v>
      </c>
      <c r="CH35" s="5" t="b">
        <v>1</v>
      </c>
      <c r="CI35" s="5" t="b">
        <v>1</v>
      </c>
      <c r="CJ35" s="5" t="b">
        <v>1</v>
      </c>
      <c r="CK35" s="5" t="b">
        <v>0</v>
      </c>
      <c r="CL35" s="5" t="b">
        <v>0</v>
      </c>
      <c r="CM35" s="5" t="b">
        <v>0</v>
      </c>
    </row>
    <row r="36" spans="1:91" ht="60" x14ac:dyDescent="0.25">
      <c r="A36" s="188">
        <v>45727</v>
      </c>
      <c r="B36" s="5" t="s">
        <v>44</v>
      </c>
      <c r="C36" s="5" t="s">
        <v>5</v>
      </c>
      <c r="D36" s="5" t="s">
        <v>8</v>
      </c>
      <c r="E36" s="5" t="s">
        <v>10</v>
      </c>
      <c r="F36" s="5" t="s">
        <v>13</v>
      </c>
      <c r="G36" s="5" t="s">
        <v>15</v>
      </c>
      <c r="H36" s="5" t="s">
        <v>17</v>
      </c>
      <c r="I36" s="5" t="s">
        <v>19</v>
      </c>
      <c r="M36" s="5" t="s">
        <v>9</v>
      </c>
      <c r="N36" s="5" t="s">
        <v>11</v>
      </c>
      <c r="O36" s="5" t="s">
        <v>14</v>
      </c>
      <c r="P36" s="5" t="s">
        <v>16</v>
      </c>
      <c r="Q36" s="5" t="s">
        <v>18</v>
      </c>
      <c r="R36" s="5" t="s">
        <v>20</v>
      </c>
      <c r="V36" s="5" t="s">
        <v>107</v>
      </c>
      <c r="BV36" s="5" t="b">
        <v>1</v>
      </c>
      <c r="BW36" s="5" t="b">
        <v>1</v>
      </c>
      <c r="BX36" s="5" t="b">
        <v>1</v>
      </c>
      <c r="BY36" s="5" t="b">
        <v>1</v>
      </c>
      <c r="BZ36" s="5" t="b">
        <v>0</v>
      </c>
      <c r="CA36" s="5" t="b">
        <v>1</v>
      </c>
      <c r="CB36" s="5" t="b">
        <v>0</v>
      </c>
      <c r="CC36" s="5" t="b">
        <v>0</v>
      </c>
      <c r="CD36" s="5" t="b">
        <v>0</v>
      </c>
      <c r="CE36" s="5" t="b">
        <v>1</v>
      </c>
      <c r="CF36" s="5" t="b">
        <v>1</v>
      </c>
      <c r="CG36" s="5" t="b">
        <v>1</v>
      </c>
      <c r="CH36" s="5" t="b">
        <v>1</v>
      </c>
      <c r="CI36" s="5" t="b">
        <v>1</v>
      </c>
      <c r="CJ36" s="5" t="b">
        <v>1</v>
      </c>
      <c r="CK36" s="5" t="b">
        <v>0</v>
      </c>
      <c r="CL36" s="5" t="b">
        <v>0</v>
      </c>
      <c r="CM36" s="5" t="b">
        <v>0</v>
      </c>
    </row>
    <row r="37" spans="1:91" ht="45" x14ac:dyDescent="0.25">
      <c r="A37" s="188">
        <v>45727</v>
      </c>
      <c r="B37" s="5" t="s">
        <v>56</v>
      </c>
      <c r="C37" s="5" t="s">
        <v>57</v>
      </c>
      <c r="D37" s="5" t="s">
        <v>8</v>
      </c>
      <c r="E37" s="5" t="s">
        <v>10</v>
      </c>
      <c r="F37" s="5" t="s">
        <v>35</v>
      </c>
      <c r="G37" s="5" t="s">
        <v>15</v>
      </c>
      <c r="H37" s="5" t="s">
        <v>93</v>
      </c>
      <c r="M37" s="5" t="s">
        <v>9</v>
      </c>
      <c r="N37" s="5" t="s">
        <v>11</v>
      </c>
      <c r="O37" s="5" t="s">
        <v>14</v>
      </c>
      <c r="P37" s="5" t="s">
        <v>16</v>
      </c>
      <c r="Q37" s="5" t="s">
        <v>18</v>
      </c>
      <c r="R37" s="5" t="s">
        <v>20</v>
      </c>
      <c r="BV37" s="5" t="b">
        <v>1</v>
      </c>
      <c r="BW37" s="5" t="b">
        <v>1</v>
      </c>
      <c r="BX37" s="5" t="b">
        <v>1</v>
      </c>
      <c r="BY37" s="5" t="b">
        <v>1</v>
      </c>
      <c r="BZ37" s="5" t="b">
        <v>1</v>
      </c>
      <c r="CA37" s="5" t="b">
        <v>0</v>
      </c>
      <c r="CB37" s="5" t="b">
        <v>0</v>
      </c>
      <c r="CC37" s="5" t="b">
        <v>0</v>
      </c>
      <c r="CD37" s="5" t="b">
        <v>0</v>
      </c>
      <c r="CE37" s="5" t="b">
        <v>1</v>
      </c>
      <c r="CF37" s="5" t="b">
        <v>1</v>
      </c>
      <c r="CG37" s="5" t="b">
        <v>1</v>
      </c>
      <c r="CH37" s="5" t="b">
        <v>1</v>
      </c>
      <c r="CI37" s="5" t="b">
        <v>1</v>
      </c>
      <c r="CJ37" s="5" t="b">
        <v>1</v>
      </c>
      <c r="CK37" s="5" t="b">
        <v>0</v>
      </c>
      <c r="CL37" s="5" t="b">
        <v>0</v>
      </c>
      <c r="CM37" s="5" t="b">
        <v>0</v>
      </c>
    </row>
    <row r="38" spans="1:91" ht="45" x14ac:dyDescent="0.25">
      <c r="A38" s="188">
        <v>45727</v>
      </c>
      <c r="B38" s="5" t="s">
        <v>6</v>
      </c>
      <c r="C38" s="5" t="s">
        <v>34</v>
      </c>
      <c r="D38" s="5" t="s">
        <v>8</v>
      </c>
      <c r="E38" s="5" t="s">
        <v>10</v>
      </c>
      <c r="F38" s="5" t="s">
        <v>35</v>
      </c>
      <c r="G38" s="5" t="s">
        <v>15</v>
      </c>
      <c r="H38" s="5" t="s">
        <v>59</v>
      </c>
      <c r="I38" s="5" t="s">
        <v>37</v>
      </c>
      <c r="J38" s="5" t="s">
        <v>60</v>
      </c>
      <c r="K38" s="5" t="s">
        <v>39</v>
      </c>
      <c r="L38" s="5" t="s">
        <v>85</v>
      </c>
      <c r="M38" s="5" t="s">
        <v>9</v>
      </c>
      <c r="N38" s="5" t="s">
        <v>11</v>
      </c>
      <c r="O38" s="5" t="s">
        <v>14</v>
      </c>
      <c r="P38" s="5" t="s">
        <v>16</v>
      </c>
      <c r="Q38" s="5" t="s">
        <v>18</v>
      </c>
      <c r="R38" s="5" t="s">
        <v>20</v>
      </c>
      <c r="BV38" s="5" t="b">
        <v>1</v>
      </c>
      <c r="BW38" s="5" t="b">
        <v>1</v>
      </c>
      <c r="BX38" s="5" t="b">
        <v>1</v>
      </c>
      <c r="BY38" s="5" t="b">
        <v>1</v>
      </c>
      <c r="BZ38" s="5" t="b">
        <v>1</v>
      </c>
      <c r="CA38" s="5" t="b">
        <v>1</v>
      </c>
      <c r="CB38" s="5" t="b">
        <v>1</v>
      </c>
      <c r="CC38" s="5" t="b">
        <v>1</v>
      </c>
      <c r="CD38" s="5" t="b">
        <v>1</v>
      </c>
      <c r="CE38" s="5" t="b">
        <v>1</v>
      </c>
      <c r="CF38" s="5" t="b">
        <v>1</v>
      </c>
      <c r="CG38" s="5" t="b">
        <v>1</v>
      </c>
      <c r="CH38" s="5" t="b">
        <v>1</v>
      </c>
      <c r="CI38" s="5" t="b">
        <v>1</v>
      </c>
      <c r="CJ38" s="5" t="b">
        <v>1</v>
      </c>
      <c r="CK38" s="5" t="b">
        <v>0</v>
      </c>
      <c r="CL38" s="5" t="b">
        <v>0</v>
      </c>
      <c r="CM38" s="5" t="b">
        <v>0</v>
      </c>
    </row>
    <row r="39" spans="1:91" ht="315" x14ac:dyDescent="0.25">
      <c r="A39" s="188">
        <v>45728</v>
      </c>
      <c r="B39" s="5" t="s">
        <v>44</v>
      </c>
      <c r="C39" s="5" t="s">
        <v>5</v>
      </c>
      <c r="D39" s="5" t="s">
        <v>8</v>
      </c>
      <c r="E39" s="5" t="s">
        <v>10</v>
      </c>
      <c r="F39" s="5" t="s">
        <v>13</v>
      </c>
      <c r="G39" s="5" t="s">
        <v>15</v>
      </c>
      <c r="H39" s="5" t="s">
        <v>17</v>
      </c>
      <c r="I39" s="5" t="s">
        <v>19</v>
      </c>
      <c r="M39" s="5" t="s">
        <v>9</v>
      </c>
      <c r="N39" s="5" t="s">
        <v>11</v>
      </c>
      <c r="O39" s="5" t="s">
        <v>14</v>
      </c>
      <c r="P39" s="5" t="s">
        <v>16</v>
      </c>
      <c r="Q39" s="5" t="s">
        <v>18</v>
      </c>
      <c r="R39" s="5" t="s">
        <v>20</v>
      </c>
      <c r="V39" s="5" t="s">
        <v>319</v>
      </c>
      <c r="W39" s="5" t="s">
        <v>320</v>
      </c>
      <c r="AV39" s="5" t="s">
        <v>316</v>
      </c>
      <c r="AW39" s="5" t="s">
        <v>317</v>
      </c>
      <c r="AX39" s="5" t="s">
        <v>318</v>
      </c>
      <c r="BV39" s="5" t="b">
        <v>1</v>
      </c>
      <c r="BW39" s="5" t="b">
        <v>1</v>
      </c>
      <c r="BX39" s="5" t="b">
        <v>1</v>
      </c>
      <c r="BY39" s="5" t="b">
        <v>1</v>
      </c>
      <c r="BZ39" s="5" t="b">
        <v>1</v>
      </c>
      <c r="CA39" s="5" t="b">
        <v>1</v>
      </c>
      <c r="CB39" s="5" t="b">
        <v>0</v>
      </c>
      <c r="CC39" s="5" t="b">
        <v>0</v>
      </c>
      <c r="CD39" s="5" t="b">
        <v>0</v>
      </c>
      <c r="CE39" s="5" t="b">
        <v>1</v>
      </c>
      <c r="CF39" s="5" t="b">
        <v>1</v>
      </c>
      <c r="CG39" s="5" t="b">
        <v>1</v>
      </c>
      <c r="CH39" s="5" t="b">
        <v>1</v>
      </c>
      <c r="CI39" s="5" t="b">
        <v>1</v>
      </c>
      <c r="CJ39" s="5" t="b">
        <v>1</v>
      </c>
      <c r="CK39" s="5" t="b">
        <v>0</v>
      </c>
      <c r="CL39" s="5" t="b">
        <v>0</v>
      </c>
      <c r="CM39" s="5" t="b">
        <v>0</v>
      </c>
    </row>
    <row r="40" spans="1:91" ht="315" x14ac:dyDescent="0.25">
      <c r="A40" s="188">
        <v>45728</v>
      </c>
      <c r="B40" s="5" t="s">
        <v>56</v>
      </c>
      <c r="C40" s="5" t="s">
        <v>57</v>
      </c>
      <c r="D40" s="5" t="s">
        <v>8</v>
      </c>
      <c r="E40" s="5" t="s">
        <v>10</v>
      </c>
      <c r="F40" s="5" t="s">
        <v>35</v>
      </c>
      <c r="G40" s="5" t="s">
        <v>15</v>
      </c>
      <c r="H40" s="5" t="s">
        <v>93</v>
      </c>
      <c r="M40" s="5" t="s">
        <v>9</v>
      </c>
      <c r="N40" s="5" t="s">
        <v>11</v>
      </c>
      <c r="O40" s="5" t="s">
        <v>14</v>
      </c>
      <c r="P40" s="5" t="s">
        <v>16</v>
      </c>
      <c r="Q40" s="5" t="s">
        <v>18</v>
      </c>
      <c r="R40" s="5" t="s">
        <v>20</v>
      </c>
      <c r="V40" s="5" t="s">
        <v>322</v>
      </c>
      <c r="AV40" s="5" t="s">
        <v>316</v>
      </c>
      <c r="AW40" s="5" t="s">
        <v>317</v>
      </c>
      <c r="AX40" s="5" t="s">
        <v>318</v>
      </c>
      <c r="BV40" s="5" t="b">
        <v>1</v>
      </c>
      <c r="BW40" s="5" t="b">
        <v>1</v>
      </c>
      <c r="BX40" s="5" t="b">
        <v>1</v>
      </c>
      <c r="BY40" s="5" t="b">
        <v>1</v>
      </c>
      <c r="BZ40" s="5" t="b">
        <v>1</v>
      </c>
      <c r="CA40" s="5" t="b">
        <v>0</v>
      </c>
      <c r="CB40" s="5" t="b">
        <v>0</v>
      </c>
      <c r="CC40" s="5" t="b">
        <v>0</v>
      </c>
      <c r="CD40" s="5" t="b">
        <v>0</v>
      </c>
      <c r="CE40" s="5" t="b">
        <v>1</v>
      </c>
      <c r="CF40" s="5" t="b">
        <v>1</v>
      </c>
      <c r="CG40" s="5" t="b">
        <v>1</v>
      </c>
      <c r="CH40" s="5" t="b">
        <v>1</v>
      </c>
      <c r="CI40" s="5" t="b">
        <v>1</v>
      </c>
      <c r="CJ40" s="5" t="b">
        <v>1</v>
      </c>
      <c r="CK40" s="5" t="b">
        <v>0</v>
      </c>
      <c r="CL40" s="5" t="b">
        <v>0</v>
      </c>
      <c r="CM40" s="5" t="b">
        <v>0</v>
      </c>
    </row>
    <row r="41" spans="1:91" ht="315" x14ac:dyDescent="0.25">
      <c r="A41" s="188">
        <v>45728</v>
      </c>
      <c r="B41" s="5" t="s">
        <v>6</v>
      </c>
      <c r="C41" s="5" t="s">
        <v>34</v>
      </c>
      <c r="D41" s="5" t="s">
        <v>8</v>
      </c>
      <c r="E41" s="5" t="s">
        <v>10</v>
      </c>
      <c r="F41" s="5" t="s">
        <v>35</v>
      </c>
      <c r="G41" s="5" t="s">
        <v>15</v>
      </c>
      <c r="H41" s="5" t="s">
        <v>59</v>
      </c>
      <c r="I41" s="5" t="s">
        <v>37</v>
      </c>
      <c r="J41" s="5" t="s">
        <v>60</v>
      </c>
      <c r="K41" s="5" t="s">
        <v>39</v>
      </c>
      <c r="L41" s="5" t="s">
        <v>85</v>
      </c>
      <c r="M41" s="5" t="s">
        <v>9</v>
      </c>
      <c r="N41" s="5" t="s">
        <v>11</v>
      </c>
      <c r="O41" s="5" t="s">
        <v>14</v>
      </c>
      <c r="P41" s="5" t="s">
        <v>16</v>
      </c>
      <c r="Q41" s="5" t="s">
        <v>18</v>
      </c>
      <c r="R41" s="5" t="s">
        <v>20</v>
      </c>
      <c r="V41" s="5" t="s">
        <v>322</v>
      </c>
      <c r="AV41" s="5" t="s">
        <v>316</v>
      </c>
      <c r="AW41" s="5" t="s">
        <v>317</v>
      </c>
      <c r="AX41" s="5" t="s">
        <v>318</v>
      </c>
      <c r="BV41" s="5" t="b">
        <v>1</v>
      </c>
      <c r="BW41" s="5" t="b">
        <v>1</v>
      </c>
      <c r="BX41" s="5" t="b">
        <v>1</v>
      </c>
      <c r="BY41" s="5" t="b">
        <v>1</v>
      </c>
      <c r="BZ41" s="5" t="b">
        <v>1</v>
      </c>
      <c r="CA41" s="5" t="b">
        <v>1</v>
      </c>
      <c r="CB41" s="5" t="b">
        <v>1</v>
      </c>
      <c r="CC41" s="5" t="b">
        <v>1</v>
      </c>
      <c r="CD41" s="5" t="b">
        <v>1</v>
      </c>
      <c r="CE41" s="5" t="b">
        <v>1</v>
      </c>
      <c r="CF41" s="5" t="b">
        <v>1</v>
      </c>
      <c r="CG41" s="5" t="b">
        <v>1</v>
      </c>
      <c r="CH41" s="5" t="b">
        <v>1</v>
      </c>
      <c r="CI41" s="5" t="b">
        <v>1</v>
      </c>
      <c r="CJ41" s="5" t="b">
        <v>1</v>
      </c>
      <c r="CK41" s="5" t="b">
        <v>1</v>
      </c>
      <c r="CL41" s="5" t="b">
        <v>1</v>
      </c>
      <c r="CM41" s="5" t="b">
        <v>1</v>
      </c>
    </row>
    <row r="42" spans="1:91" ht="45" x14ac:dyDescent="0.25">
      <c r="A42" s="188">
        <v>45729</v>
      </c>
      <c r="B42" s="5" t="s">
        <v>56</v>
      </c>
      <c r="C42" s="5" t="s">
        <v>57</v>
      </c>
      <c r="D42" s="5" t="s">
        <v>8</v>
      </c>
      <c r="E42" s="5" t="s">
        <v>10</v>
      </c>
      <c r="F42" s="5" t="s">
        <v>35</v>
      </c>
      <c r="G42" s="5" t="s">
        <v>15</v>
      </c>
      <c r="H42" s="5" t="s">
        <v>93</v>
      </c>
      <c r="M42" s="5" t="s">
        <v>9</v>
      </c>
      <c r="N42" s="5" t="s">
        <v>11</v>
      </c>
      <c r="O42" s="5" t="s">
        <v>14</v>
      </c>
      <c r="P42" s="5" t="s">
        <v>16</v>
      </c>
      <c r="Q42" s="5" t="s">
        <v>18</v>
      </c>
      <c r="R42" s="5" t="s">
        <v>20</v>
      </c>
      <c r="V42" s="5" t="s">
        <v>325</v>
      </c>
      <c r="AI42" s="5">
        <v>2286156</v>
      </c>
      <c r="BV42" s="5" t="b">
        <v>1</v>
      </c>
      <c r="BW42" s="5" t="b">
        <v>1</v>
      </c>
      <c r="BX42" s="5" t="b">
        <v>1</v>
      </c>
      <c r="BY42" s="5" t="b">
        <v>1</v>
      </c>
      <c r="BZ42" s="5" t="b">
        <v>1</v>
      </c>
      <c r="CA42" s="5" t="b">
        <v>0</v>
      </c>
      <c r="CB42" s="5" t="b">
        <v>0</v>
      </c>
      <c r="CC42" s="5" t="b">
        <v>0</v>
      </c>
      <c r="CD42" s="5" t="b">
        <v>0</v>
      </c>
      <c r="CE42" s="5" t="b">
        <v>1</v>
      </c>
      <c r="CF42" s="5" t="b">
        <v>1</v>
      </c>
      <c r="CG42" s="5" t="b">
        <v>1</v>
      </c>
      <c r="CH42" s="5" t="b">
        <v>1</v>
      </c>
      <c r="CI42" s="5" t="b">
        <v>1</v>
      </c>
      <c r="CJ42" s="5" t="b">
        <v>1</v>
      </c>
      <c r="CK42" s="5" t="b">
        <v>0</v>
      </c>
      <c r="CL42" s="5" t="b">
        <v>0</v>
      </c>
      <c r="CM42" s="5" t="b">
        <v>0</v>
      </c>
    </row>
    <row r="43" spans="1:91" ht="315" x14ac:dyDescent="0.25">
      <c r="A43" s="188">
        <v>45729</v>
      </c>
      <c r="B43" s="5" t="s">
        <v>44</v>
      </c>
      <c r="C43" s="5" t="s">
        <v>5</v>
      </c>
      <c r="D43" s="5" t="s">
        <v>8</v>
      </c>
      <c r="E43" s="5" t="s">
        <v>10</v>
      </c>
      <c r="F43" s="5" t="s">
        <v>13</v>
      </c>
      <c r="G43" s="5" t="s">
        <v>15</v>
      </c>
      <c r="H43" s="5" t="s">
        <v>17</v>
      </c>
      <c r="I43" s="5" t="s">
        <v>19</v>
      </c>
      <c r="M43" s="5" t="s">
        <v>9</v>
      </c>
      <c r="N43" s="5" t="s">
        <v>11</v>
      </c>
      <c r="O43" s="5" t="s">
        <v>14</v>
      </c>
      <c r="P43" s="5" t="s">
        <v>16</v>
      </c>
      <c r="Q43" s="5" t="s">
        <v>18</v>
      </c>
      <c r="R43" s="5" t="s">
        <v>20</v>
      </c>
      <c r="V43" s="5" t="s">
        <v>324</v>
      </c>
      <c r="AV43" s="5" t="s">
        <v>316</v>
      </c>
      <c r="AW43" s="5" t="s">
        <v>317</v>
      </c>
      <c r="BV43" s="5" t="b">
        <v>1</v>
      </c>
      <c r="BW43" s="5" t="b">
        <v>1</v>
      </c>
      <c r="BX43" s="5" t="b">
        <v>1</v>
      </c>
      <c r="BY43" s="5" t="b">
        <v>1</v>
      </c>
      <c r="BZ43" s="5" t="b">
        <v>0</v>
      </c>
      <c r="CA43" s="5" t="b">
        <v>1</v>
      </c>
      <c r="CB43" s="5" t="b">
        <v>0</v>
      </c>
      <c r="CC43" s="5" t="b">
        <v>0</v>
      </c>
      <c r="CD43" s="5" t="b">
        <v>0</v>
      </c>
      <c r="CE43" s="5" t="b">
        <v>1</v>
      </c>
      <c r="CF43" s="5" t="b">
        <v>1</v>
      </c>
      <c r="CG43" s="5" t="b">
        <v>1</v>
      </c>
      <c r="CH43" s="5" t="b">
        <v>1</v>
      </c>
      <c r="CI43" s="5" t="b">
        <v>1</v>
      </c>
      <c r="CJ43" s="5" t="b">
        <v>1</v>
      </c>
      <c r="CK43" s="5" t="b">
        <v>0</v>
      </c>
      <c r="CL43" s="5" t="b">
        <v>0</v>
      </c>
      <c r="CM43" s="5" t="b">
        <v>0</v>
      </c>
    </row>
    <row r="44" spans="1:91" ht="45" x14ac:dyDescent="0.25">
      <c r="A44" s="188">
        <v>45729</v>
      </c>
      <c r="B44" s="5" t="s">
        <v>6</v>
      </c>
      <c r="C44" s="5" t="s">
        <v>34</v>
      </c>
      <c r="D44" s="5" t="s">
        <v>8</v>
      </c>
      <c r="E44" s="5" t="s">
        <v>10</v>
      </c>
      <c r="F44" s="5" t="s">
        <v>35</v>
      </c>
      <c r="G44" s="5" t="s">
        <v>15</v>
      </c>
      <c r="H44" s="5" t="s">
        <v>59</v>
      </c>
      <c r="I44" s="5" t="s">
        <v>37</v>
      </c>
      <c r="J44" s="5" t="s">
        <v>60</v>
      </c>
      <c r="K44" s="5" t="s">
        <v>39</v>
      </c>
      <c r="L44" s="5" t="s">
        <v>85</v>
      </c>
      <c r="M44" s="5" t="s">
        <v>9</v>
      </c>
      <c r="N44" s="5" t="s">
        <v>11</v>
      </c>
      <c r="O44" s="5" t="s">
        <v>14</v>
      </c>
      <c r="P44" s="5" t="s">
        <v>16</v>
      </c>
      <c r="Q44" s="5" t="s">
        <v>18</v>
      </c>
      <c r="R44" s="5" t="s">
        <v>20</v>
      </c>
      <c r="BV44" s="5" t="b">
        <v>1</v>
      </c>
      <c r="BW44" s="5" t="b">
        <v>1</v>
      </c>
      <c r="BX44" s="5" t="b">
        <v>1</v>
      </c>
      <c r="BY44" s="5" t="b">
        <v>1</v>
      </c>
      <c r="BZ44" s="5" t="b">
        <v>1</v>
      </c>
      <c r="CA44" s="5" t="b">
        <v>1</v>
      </c>
      <c r="CB44" s="5" t="b">
        <v>1</v>
      </c>
      <c r="CC44" s="5" t="b">
        <v>1</v>
      </c>
      <c r="CD44" s="5" t="b">
        <v>1</v>
      </c>
      <c r="CE44" s="5" t="b">
        <v>1</v>
      </c>
      <c r="CF44" s="5" t="b">
        <v>1</v>
      </c>
      <c r="CG44" s="5" t="b">
        <v>1</v>
      </c>
      <c r="CH44" s="5" t="b">
        <v>1</v>
      </c>
      <c r="CI44" s="5" t="b">
        <v>1</v>
      </c>
      <c r="CJ44" s="5" t="b">
        <v>1</v>
      </c>
      <c r="CK44" s="5" t="b">
        <v>1</v>
      </c>
      <c r="CL44" s="5" t="b">
        <v>1</v>
      </c>
      <c r="CM44" s="5" t="b">
        <v>1</v>
      </c>
    </row>
    <row r="45" spans="1:91" ht="45" x14ac:dyDescent="0.25">
      <c r="A45" s="188">
        <v>45730</v>
      </c>
      <c r="B45" s="5" t="s">
        <v>64</v>
      </c>
      <c r="C45" s="5" t="s">
        <v>5</v>
      </c>
      <c r="D45" s="5" t="s">
        <v>8</v>
      </c>
      <c r="E45" s="5" t="s">
        <v>10</v>
      </c>
      <c r="F45" s="5" t="s">
        <v>35</v>
      </c>
      <c r="G45" s="5" t="s">
        <v>15</v>
      </c>
      <c r="H45" s="5" t="s">
        <v>65</v>
      </c>
      <c r="M45" s="5" t="s">
        <v>9</v>
      </c>
      <c r="N45" s="5" t="s">
        <v>11</v>
      </c>
      <c r="O45" s="5" t="s">
        <v>14</v>
      </c>
      <c r="P45" s="5" t="s">
        <v>16</v>
      </c>
      <c r="Q45" s="5" t="s">
        <v>18</v>
      </c>
      <c r="R45" s="5" t="s">
        <v>20</v>
      </c>
      <c r="V45" s="5" t="s">
        <v>326</v>
      </c>
      <c r="BV45" s="5" t="b">
        <v>1</v>
      </c>
      <c r="BW45" s="5" t="b">
        <v>1</v>
      </c>
      <c r="BX45" s="5" t="b">
        <v>1</v>
      </c>
      <c r="BY45" s="5" t="b">
        <v>1</v>
      </c>
      <c r="BZ45" s="5" t="b">
        <v>1</v>
      </c>
      <c r="CA45" s="5" t="b">
        <v>0</v>
      </c>
      <c r="CB45" s="5" t="b">
        <v>0</v>
      </c>
      <c r="CC45" s="5" t="b">
        <v>0</v>
      </c>
      <c r="CD45" s="5" t="b">
        <v>0</v>
      </c>
      <c r="CE45" s="5" t="b">
        <v>1</v>
      </c>
      <c r="CF45" s="5" t="b">
        <v>1</v>
      </c>
      <c r="CG45" s="5" t="b">
        <v>1</v>
      </c>
      <c r="CH45" s="5" t="b">
        <v>1</v>
      </c>
      <c r="CI45" s="5" t="b">
        <v>1</v>
      </c>
      <c r="CJ45" s="5" t="b">
        <v>1</v>
      </c>
      <c r="CK45" s="5" t="b">
        <v>0</v>
      </c>
      <c r="CL45" s="5" t="b">
        <v>0</v>
      </c>
      <c r="CM45" s="5" t="b">
        <v>0</v>
      </c>
    </row>
    <row r="46" spans="1:91" ht="60" x14ac:dyDescent="0.25">
      <c r="A46" s="188">
        <v>45731</v>
      </c>
      <c r="B46" s="5" t="s">
        <v>66</v>
      </c>
      <c r="C46" s="5" t="s">
        <v>34</v>
      </c>
      <c r="D46" s="5" t="s">
        <v>8</v>
      </c>
      <c r="E46" s="5" t="s">
        <v>10</v>
      </c>
      <c r="F46" s="5" t="s">
        <v>35</v>
      </c>
      <c r="G46" s="5" t="s">
        <v>15</v>
      </c>
      <c r="H46" s="5" t="s">
        <v>67</v>
      </c>
      <c r="I46" s="5" t="s">
        <v>37</v>
      </c>
      <c r="J46" s="5" t="s">
        <v>60</v>
      </c>
      <c r="K46" s="5" t="s">
        <v>39</v>
      </c>
      <c r="L46" s="5" t="s">
        <v>85</v>
      </c>
      <c r="M46" s="5" t="s">
        <v>9</v>
      </c>
      <c r="N46" s="5" t="s">
        <v>11</v>
      </c>
      <c r="O46" s="5" t="s">
        <v>14</v>
      </c>
      <c r="P46" s="5" t="s">
        <v>16</v>
      </c>
      <c r="Q46" s="5" t="s">
        <v>18</v>
      </c>
      <c r="R46" s="5" t="s">
        <v>20</v>
      </c>
      <c r="V46" s="5" t="s">
        <v>329</v>
      </c>
      <c r="AV46" s="5" t="s">
        <v>330</v>
      </c>
      <c r="BV46" s="5" t="b">
        <v>1</v>
      </c>
      <c r="BW46" s="5" t="b">
        <v>1</v>
      </c>
      <c r="BX46" s="5" t="b">
        <v>1</v>
      </c>
      <c r="BY46" s="5" t="b">
        <v>1</v>
      </c>
      <c r="BZ46" s="5" t="b">
        <v>1</v>
      </c>
      <c r="CA46" s="5" t="b">
        <v>1</v>
      </c>
      <c r="CB46" s="5" t="b">
        <v>1</v>
      </c>
      <c r="CC46" s="5" t="b">
        <v>1</v>
      </c>
      <c r="CD46" s="5" t="b">
        <v>1</v>
      </c>
      <c r="CE46" s="5" t="b">
        <v>1</v>
      </c>
      <c r="CF46" s="5" t="b">
        <v>1</v>
      </c>
      <c r="CG46" s="5" t="b">
        <v>1</v>
      </c>
      <c r="CH46" s="5" t="b">
        <v>1</v>
      </c>
      <c r="CI46" s="5" t="b">
        <v>1</v>
      </c>
      <c r="CJ46" s="5" t="b">
        <v>1</v>
      </c>
      <c r="CK46" s="5" t="b">
        <v>1</v>
      </c>
      <c r="CL46" s="5" t="b">
        <v>1</v>
      </c>
      <c r="CM46" s="5" t="b">
        <v>1</v>
      </c>
    </row>
    <row r="47" spans="1:91" ht="60" x14ac:dyDescent="0.25">
      <c r="A47" s="188">
        <v>45732</v>
      </c>
      <c r="B47" s="5" t="s">
        <v>44</v>
      </c>
      <c r="C47" s="5" t="s">
        <v>57</v>
      </c>
      <c r="D47" s="5" t="s">
        <v>8</v>
      </c>
      <c r="E47" s="5" t="s">
        <v>10</v>
      </c>
      <c r="F47" s="5" t="s">
        <v>13</v>
      </c>
      <c r="G47" s="5" t="s">
        <v>15</v>
      </c>
      <c r="H47" s="5" t="s">
        <v>17</v>
      </c>
      <c r="I47" s="5" t="s">
        <v>19</v>
      </c>
      <c r="M47" s="5" t="s">
        <v>9</v>
      </c>
      <c r="N47" s="5" t="s">
        <v>11</v>
      </c>
      <c r="O47" s="5" t="s">
        <v>14</v>
      </c>
      <c r="P47" s="5" t="s">
        <v>16</v>
      </c>
      <c r="Q47" s="5" t="s">
        <v>18</v>
      </c>
      <c r="R47" s="5" t="s">
        <v>20</v>
      </c>
      <c r="AV47" s="5" t="s">
        <v>330</v>
      </c>
      <c r="BV47" s="5" t="b">
        <v>1</v>
      </c>
      <c r="BW47" s="5" t="b">
        <v>1</v>
      </c>
      <c r="BX47" s="5" t="b">
        <v>1</v>
      </c>
      <c r="BY47" s="5" t="b">
        <v>1</v>
      </c>
      <c r="BZ47" s="5" t="b">
        <v>0</v>
      </c>
      <c r="CA47" s="5" t="b">
        <v>1</v>
      </c>
      <c r="CB47" s="5" t="b">
        <v>0</v>
      </c>
      <c r="CC47" s="5" t="b">
        <v>0</v>
      </c>
      <c r="CD47" s="5" t="b">
        <v>0</v>
      </c>
      <c r="CE47" s="5" t="b">
        <v>1</v>
      </c>
      <c r="CF47" s="5" t="b">
        <v>1</v>
      </c>
      <c r="CG47" s="5" t="b">
        <v>1</v>
      </c>
      <c r="CH47" s="5" t="b">
        <v>1</v>
      </c>
      <c r="CI47" s="5" t="b">
        <v>1</v>
      </c>
      <c r="CJ47" s="5" t="b">
        <v>1</v>
      </c>
      <c r="CK47" s="5" t="b">
        <v>0</v>
      </c>
      <c r="CL47" s="5" t="b">
        <v>0</v>
      </c>
      <c r="CM47" s="5" t="b">
        <v>0</v>
      </c>
    </row>
    <row r="48" spans="1:91" ht="60" x14ac:dyDescent="0.25">
      <c r="A48" s="188">
        <v>45732</v>
      </c>
      <c r="B48" s="5" t="s">
        <v>56</v>
      </c>
      <c r="C48" s="5" t="s">
        <v>5</v>
      </c>
      <c r="D48" s="5" t="s">
        <v>8</v>
      </c>
      <c r="E48" s="5" t="s">
        <v>10</v>
      </c>
      <c r="F48" s="5" t="s">
        <v>35</v>
      </c>
      <c r="G48" s="5" t="s">
        <v>15</v>
      </c>
      <c r="H48" s="5" t="s">
        <v>93</v>
      </c>
      <c r="M48" s="5" t="s">
        <v>9</v>
      </c>
      <c r="N48" s="5" t="s">
        <v>11</v>
      </c>
      <c r="O48" s="5" t="s">
        <v>14</v>
      </c>
      <c r="P48" s="5" t="s">
        <v>16</v>
      </c>
      <c r="Q48" s="5" t="s">
        <v>18</v>
      </c>
      <c r="R48" s="5" t="s">
        <v>20</v>
      </c>
      <c r="V48" s="5" t="s">
        <v>331</v>
      </c>
      <c r="W48" s="5" t="s">
        <v>332</v>
      </c>
      <c r="BV48" s="5" t="b">
        <v>1</v>
      </c>
      <c r="BW48" s="5" t="b">
        <v>1</v>
      </c>
      <c r="BX48" s="5" t="b">
        <v>1</v>
      </c>
      <c r="BY48" s="5" t="b">
        <v>1</v>
      </c>
      <c r="BZ48" s="5" t="b">
        <v>0</v>
      </c>
      <c r="CA48" s="5" t="b">
        <v>0</v>
      </c>
      <c r="CB48" s="5" t="b">
        <v>0</v>
      </c>
      <c r="CC48" s="5" t="b">
        <v>0</v>
      </c>
      <c r="CD48" s="5" t="b">
        <v>0</v>
      </c>
      <c r="CE48" s="5" t="b">
        <v>1</v>
      </c>
      <c r="CF48" s="5" t="b">
        <v>1</v>
      </c>
      <c r="CG48" s="5" t="b">
        <v>1</v>
      </c>
      <c r="CH48" s="5" t="b">
        <v>1</v>
      </c>
      <c r="CI48" s="5" t="b">
        <v>1</v>
      </c>
      <c r="CJ48" s="5" t="b">
        <v>1</v>
      </c>
      <c r="CK48" s="5" t="b">
        <v>0</v>
      </c>
      <c r="CL48" s="5" t="b">
        <v>0</v>
      </c>
      <c r="CM48" s="5" t="b">
        <v>0</v>
      </c>
    </row>
    <row r="49" spans="1:91" ht="45" x14ac:dyDescent="0.25">
      <c r="A49" s="188">
        <v>45732</v>
      </c>
      <c r="B49" s="5" t="s">
        <v>6</v>
      </c>
      <c r="C49" s="5" t="s">
        <v>34</v>
      </c>
      <c r="D49" s="5" t="s">
        <v>8</v>
      </c>
      <c r="E49" s="5" t="s">
        <v>10</v>
      </c>
      <c r="F49" s="5" t="s">
        <v>35</v>
      </c>
      <c r="G49" s="5" t="s">
        <v>15</v>
      </c>
      <c r="H49" s="5" t="s">
        <v>59</v>
      </c>
      <c r="I49" s="5" t="s">
        <v>37</v>
      </c>
      <c r="J49" s="5" t="s">
        <v>60</v>
      </c>
      <c r="K49" s="5" t="s">
        <v>39</v>
      </c>
      <c r="L49" s="5" t="s">
        <v>85</v>
      </c>
      <c r="M49" s="5" t="s">
        <v>9</v>
      </c>
      <c r="N49" s="5" t="s">
        <v>11</v>
      </c>
      <c r="O49" s="5" t="s">
        <v>14</v>
      </c>
      <c r="P49" s="5" t="s">
        <v>16</v>
      </c>
      <c r="Q49" s="5" t="s">
        <v>18</v>
      </c>
      <c r="R49" s="5" t="s">
        <v>20</v>
      </c>
      <c r="V49" s="5" t="s">
        <v>333</v>
      </c>
      <c r="AI49" s="5">
        <v>2292716</v>
      </c>
      <c r="BV49" s="5" t="b">
        <v>1</v>
      </c>
      <c r="BW49" s="5" t="b">
        <v>1</v>
      </c>
      <c r="BX49" s="5" t="b">
        <v>1</v>
      </c>
      <c r="BY49" s="5" t="b">
        <v>1</v>
      </c>
      <c r="BZ49" s="5" t="b">
        <v>1</v>
      </c>
      <c r="CA49" s="5" t="b">
        <v>1</v>
      </c>
      <c r="CB49" s="5" t="b">
        <v>1</v>
      </c>
      <c r="CC49" s="5" t="b">
        <v>1</v>
      </c>
      <c r="CD49" s="5" t="b">
        <v>1</v>
      </c>
      <c r="CE49" s="5" t="b">
        <v>1</v>
      </c>
      <c r="CF49" s="5" t="b">
        <v>1</v>
      </c>
      <c r="CG49" s="5" t="b">
        <v>1</v>
      </c>
      <c r="CH49" s="5" t="b">
        <v>1</v>
      </c>
      <c r="CI49" s="5" t="b">
        <v>1</v>
      </c>
      <c r="CJ49" s="5" t="b">
        <v>1</v>
      </c>
      <c r="CK49" s="5" t="b">
        <v>1</v>
      </c>
      <c r="CL49" s="5" t="b">
        <v>1</v>
      </c>
      <c r="CM49" s="5" t="b">
        <v>1</v>
      </c>
    </row>
    <row r="50" spans="1:91" ht="60" x14ac:dyDescent="0.25">
      <c r="A50" s="188">
        <v>45733</v>
      </c>
      <c r="B50" s="5" t="s">
        <v>44</v>
      </c>
      <c r="C50" s="5" t="s">
        <v>57</v>
      </c>
      <c r="D50" s="5" t="s">
        <v>8</v>
      </c>
      <c r="E50" s="5" t="s">
        <v>10</v>
      </c>
      <c r="F50" s="5" t="s">
        <v>13</v>
      </c>
      <c r="G50" s="5" t="s">
        <v>15</v>
      </c>
      <c r="H50" s="5" t="s">
        <v>17</v>
      </c>
      <c r="I50" s="5" t="s">
        <v>19</v>
      </c>
      <c r="M50" s="5" t="s">
        <v>9</v>
      </c>
      <c r="N50" s="5" t="s">
        <v>11</v>
      </c>
      <c r="O50" s="5" t="s">
        <v>14</v>
      </c>
      <c r="P50" s="5" t="s">
        <v>16</v>
      </c>
      <c r="Q50" s="5" t="s">
        <v>18</v>
      </c>
      <c r="R50" s="5" t="s">
        <v>20</v>
      </c>
      <c r="V50" s="5" t="s">
        <v>336</v>
      </c>
      <c r="AI50" s="5">
        <v>2292887</v>
      </c>
      <c r="BV50" s="5" t="b">
        <v>1</v>
      </c>
      <c r="BW50" s="5" t="b">
        <v>1</v>
      </c>
      <c r="BX50" s="5" t="b">
        <v>1</v>
      </c>
      <c r="BY50" s="5" t="b">
        <v>1</v>
      </c>
      <c r="BZ50" s="5" t="b">
        <v>0</v>
      </c>
      <c r="CA50" s="5" t="b">
        <v>1</v>
      </c>
      <c r="CB50" s="5" t="b">
        <v>0</v>
      </c>
      <c r="CC50" s="5" t="b">
        <v>0</v>
      </c>
      <c r="CD50" s="5" t="b">
        <v>0</v>
      </c>
      <c r="CE50" s="5" t="b">
        <v>1</v>
      </c>
      <c r="CF50" s="5" t="b">
        <v>1</v>
      </c>
      <c r="CG50" s="5" t="b">
        <v>1</v>
      </c>
      <c r="CH50" s="5" t="b">
        <v>1</v>
      </c>
      <c r="CI50" s="5" t="b">
        <v>1</v>
      </c>
      <c r="CJ50" s="5" t="b">
        <v>1</v>
      </c>
      <c r="CK50" s="5" t="b">
        <v>0</v>
      </c>
      <c r="CL50" s="5" t="b">
        <v>0</v>
      </c>
      <c r="CM50" s="5" t="b">
        <v>0</v>
      </c>
    </row>
    <row r="51" spans="1:91" ht="45" x14ac:dyDescent="0.25">
      <c r="A51" s="188">
        <v>45733</v>
      </c>
      <c r="B51" s="5" t="s">
        <v>56</v>
      </c>
      <c r="C51" s="5" t="s">
        <v>5</v>
      </c>
      <c r="D51" s="5" t="s">
        <v>8</v>
      </c>
      <c r="E51" s="5" t="s">
        <v>10</v>
      </c>
      <c r="F51" s="5" t="s">
        <v>35</v>
      </c>
      <c r="G51" s="5" t="s">
        <v>15</v>
      </c>
      <c r="H51" s="5" t="s">
        <v>93</v>
      </c>
      <c r="M51" s="5" t="s">
        <v>9</v>
      </c>
      <c r="N51" s="5" t="s">
        <v>11</v>
      </c>
      <c r="O51" s="5" t="s">
        <v>14</v>
      </c>
      <c r="P51" s="5" t="s">
        <v>16</v>
      </c>
      <c r="Q51" s="5" t="s">
        <v>18</v>
      </c>
      <c r="R51" s="5" t="s">
        <v>20</v>
      </c>
      <c r="V51" s="5" t="s">
        <v>337</v>
      </c>
      <c r="AI51" s="5">
        <v>2293141</v>
      </c>
      <c r="BV51" s="5" t="b">
        <v>1</v>
      </c>
      <c r="BW51" s="5" t="b">
        <v>1</v>
      </c>
      <c r="BX51" s="5" t="b">
        <v>1</v>
      </c>
      <c r="BY51" s="5" t="b">
        <v>1</v>
      </c>
      <c r="BZ51" s="5" t="b">
        <v>0</v>
      </c>
      <c r="CA51" s="5" t="b">
        <v>0</v>
      </c>
      <c r="CB51" s="5" t="b">
        <v>0</v>
      </c>
      <c r="CC51" s="5" t="b">
        <v>0</v>
      </c>
      <c r="CD51" s="5" t="b">
        <v>0</v>
      </c>
      <c r="CE51" s="5" t="b">
        <v>1</v>
      </c>
      <c r="CF51" s="5" t="b">
        <v>1</v>
      </c>
      <c r="CG51" s="5" t="b">
        <v>1</v>
      </c>
      <c r="CH51" s="5" t="b">
        <v>1</v>
      </c>
      <c r="CI51" s="5" t="b">
        <v>1</v>
      </c>
      <c r="CJ51" s="5" t="b">
        <v>1</v>
      </c>
      <c r="CK51" s="5" t="b">
        <v>0</v>
      </c>
      <c r="CL51" s="5" t="b">
        <v>0</v>
      </c>
      <c r="CM51" s="5" t="b">
        <v>0</v>
      </c>
    </row>
    <row r="52" spans="1:91" ht="45" x14ac:dyDescent="0.25">
      <c r="A52" s="188">
        <v>45733</v>
      </c>
      <c r="B52" s="5" t="s">
        <v>6</v>
      </c>
      <c r="C52" s="5" t="s">
        <v>34</v>
      </c>
      <c r="D52" s="5" t="s">
        <v>8</v>
      </c>
      <c r="E52" s="5" t="s">
        <v>10</v>
      </c>
      <c r="F52" s="5" t="s">
        <v>35</v>
      </c>
      <c r="G52" s="5" t="s">
        <v>15</v>
      </c>
      <c r="H52" s="5" t="s">
        <v>59</v>
      </c>
      <c r="I52" s="5" t="s">
        <v>37</v>
      </c>
      <c r="J52" s="5" t="s">
        <v>60</v>
      </c>
      <c r="K52" s="5" t="s">
        <v>39</v>
      </c>
      <c r="L52" s="5" t="s">
        <v>85</v>
      </c>
      <c r="M52" s="5" t="s">
        <v>9</v>
      </c>
      <c r="N52" s="5" t="s">
        <v>11</v>
      </c>
      <c r="O52" s="5" t="s">
        <v>14</v>
      </c>
      <c r="P52" s="5" t="s">
        <v>16</v>
      </c>
      <c r="Q52" s="5" t="s">
        <v>18</v>
      </c>
      <c r="R52" s="5" t="s">
        <v>20</v>
      </c>
      <c r="V52" s="5" t="s">
        <v>339</v>
      </c>
      <c r="AI52" s="5" t="s">
        <v>338</v>
      </c>
      <c r="BV52" s="5" t="b">
        <v>1</v>
      </c>
      <c r="BW52" s="5" t="b">
        <v>1</v>
      </c>
      <c r="BX52" s="5" t="b">
        <v>1</v>
      </c>
      <c r="BY52" s="5" t="b">
        <v>1</v>
      </c>
      <c r="BZ52" s="5" t="b">
        <v>1</v>
      </c>
      <c r="CA52" s="5" t="b">
        <v>1</v>
      </c>
      <c r="CB52" s="5" t="b">
        <v>1</v>
      </c>
      <c r="CC52" s="5" t="b">
        <v>1</v>
      </c>
      <c r="CD52" s="5" t="b">
        <v>1</v>
      </c>
      <c r="CE52" s="5" t="b">
        <v>1</v>
      </c>
      <c r="CF52" s="5" t="b">
        <v>1</v>
      </c>
      <c r="CG52" s="5" t="b">
        <v>1</v>
      </c>
      <c r="CH52" s="5" t="b">
        <v>1</v>
      </c>
      <c r="CI52" s="5" t="b">
        <v>1</v>
      </c>
      <c r="CJ52" s="5" t="b">
        <v>1</v>
      </c>
      <c r="CK52" s="5" t="b">
        <v>1</v>
      </c>
      <c r="CL52" s="5" t="b">
        <v>1</v>
      </c>
      <c r="CM52" s="5" t="b">
        <v>1</v>
      </c>
    </row>
    <row r="53" spans="1:91" ht="45" x14ac:dyDescent="0.25">
      <c r="A53" s="188">
        <v>45734</v>
      </c>
      <c r="B53" s="5" t="s">
        <v>56</v>
      </c>
      <c r="C53" s="5" t="s">
        <v>34</v>
      </c>
      <c r="D53" s="5" t="s">
        <v>8</v>
      </c>
      <c r="E53" s="5" t="s">
        <v>10</v>
      </c>
      <c r="F53" s="5" t="s">
        <v>35</v>
      </c>
      <c r="G53" s="5" t="s">
        <v>15</v>
      </c>
      <c r="H53" s="5" t="s">
        <v>93</v>
      </c>
      <c r="M53" s="5" t="s">
        <v>9</v>
      </c>
      <c r="N53" s="5" t="s">
        <v>11</v>
      </c>
      <c r="O53" s="5" t="s">
        <v>14</v>
      </c>
      <c r="P53" s="5" t="s">
        <v>16</v>
      </c>
      <c r="Q53" s="5" t="s">
        <v>18</v>
      </c>
      <c r="R53" s="5" t="s">
        <v>20</v>
      </c>
      <c r="BV53" s="5" t="b">
        <v>1</v>
      </c>
      <c r="BW53" s="5" t="b">
        <v>1</v>
      </c>
      <c r="BX53" s="5" t="b">
        <v>1</v>
      </c>
      <c r="BY53" s="5" t="b">
        <v>1</v>
      </c>
      <c r="BZ53" s="5" t="b">
        <v>1</v>
      </c>
      <c r="CA53" s="5" t="b">
        <v>0</v>
      </c>
      <c r="CB53" s="5" t="b">
        <v>0</v>
      </c>
      <c r="CC53" s="5" t="b">
        <v>0</v>
      </c>
      <c r="CD53" s="5" t="b">
        <v>0</v>
      </c>
      <c r="CE53" s="5" t="b">
        <v>1</v>
      </c>
      <c r="CF53" s="5" t="b">
        <v>1</v>
      </c>
      <c r="CG53" s="5" t="b">
        <v>1</v>
      </c>
      <c r="CH53" s="5" t="b">
        <v>1</v>
      </c>
      <c r="CI53" s="5" t="b">
        <v>1</v>
      </c>
      <c r="CJ53" s="5" t="b">
        <v>1</v>
      </c>
      <c r="CK53" s="5" t="b">
        <v>0</v>
      </c>
      <c r="CL53" s="5" t="b">
        <v>0</v>
      </c>
      <c r="CM53" s="5" t="b">
        <v>0</v>
      </c>
    </row>
    <row r="54" spans="1:91" ht="45" x14ac:dyDescent="0.25">
      <c r="A54" s="188">
        <v>45734</v>
      </c>
      <c r="B54" s="5" t="s">
        <v>6</v>
      </c>
      <c r="C54" s="5" t="s">
        <v>5</v>
      </c>
      <c r="D54" s="5" t="s">
        <v>8</v>
      </c>
      <c r="E54" s="5" t="s">
        <v>10</v>
      </c>
      <c r="F54" s="5" t="s">
        <v>35</v>
      </c>
      <c r="G54" s="5" t="s">
        <v>15</v>
      </c>
      <c r="H54" s="5" t="s">
        <v>59</v>
      </c>
      <c r="I54" s="5" t="s">
        <v>37</v>
      </c>
      <c r="J54" s="5" t="s">
        <v>60</v>
      </c>
      <c r="K54" s="5" t="s">
        <v>39</v>
      </c>
      <c r="L54" s="5" t="s">
        <v>85</v>
      </c>
      <c r="M54" s="5" t="s">
        <v>9</v>
      </c>
      <c r="N54" s="5" t="s">
        <v>11</v>
      </c>
      <c r="O54" s="5" t="s">
        <v>14</v>
      </c>
      <c r="P54" s="5" t="s">
        <v>16</v>
      </c>
      <c r="Q54" s="5" t="s">
        <v>18</v>
      </c>
      <c r="R54" s="5" t="s">
        <v>20</v>
      </c>
      <c r="BV54" s="5" t="b">
        <v>1</v>
      </c>
      <c r="BW54" s="5" t="b">
        <v>1</v>
      </c>
      <c r="BX54" s="5" t="b">
        <v>1</v>
      </c>
      <c r="BY54" s="5" t="b">
        <v>1</v>
      </c>
      <c r="BZ54" s="5" t="b">
        <v>1</v>
      </c>
      <c r="CA54" s="5" t="b">
        <v>1</v>
      </c>
      <c r="CB54" s="5" t="b">
        <v>1</v>
      </c>
      <c r="CC54" s="5" t="b">
        <v>1</v>
      </c>
      <c r="CD54" s="5" t="b">
        <v>1</v>
      </c>
      <c r="CE54" s="5" t="b">
        <v>1</v>
      </c>
      <c r="CF54" s="5" t="b">
        <v>1</v>
      </c>
      <c r="CG54" s="5" t="b">
        <v>1</v>
      </c>
      <c r="CH54" s="5" t="b">
        <v>1</v>
      </c>
      <c r="CI54" s="5" t="b">
        <v>1</v>
      </c>
      <c r="CJ54" s="5" t="b">
        <v>1</v>
      </c>
      <c r="CK54" s="5" t="b">
        <v>0</v>
      </c>
      <c r="CL54" s="5" t="b">
        <v>0</v>
      </c>
      <c r="CM54" s="5" t="b">
        <v>0</v>
      </c>
    </row>
    <row r="55" spans="1:91" ht="409.5" x14ac:dyDescent="0.25">
      <c r="A55" s="188">
        <v>45735</v>
      </c>
      <c r="B55" s="5" t="s">
        <v>44</v>
      </c>
      <c r="C55" s="5" t="s">
        <v>57</v>
      </c>
      <c r="D55" s="5" t="s">
        <v>8</v>
      </c>
      <c r="E55" s="5" t="s">
        <v>10</v>
      </c>
      <c r="F55" s="5" t="s">
        <v>13</v>
      </c>
      <c r="G55" s="5" t="s">
        <v>15</v>
      </c>
      <c r="H55" s="5" t="s">
        <v>17</v>
      </c>
      <c r="I55" s="5" t="s">
        <v>19</v>
      </c>
      <c r="M55" s="5" t="s">
        <v>9</v>
      </c>
      <c r="N55" s="5" t="s">
        <v>11</v>
      </c>
      <c r="O55" s="5" t="s">
        <v>14</v>
      </c>
      <c r="P55" s="5" t="s">
        <v>16</v>
      </c>
      <c r="Q55" s="5" t="s">
        <v>18</v>
      </c>
      <c r="R55" s="5" t="s">
        <v>20</v>
      </c>
      <c r="W55" s="5" t="s">
        <v>341</v>
      </c>
      <c r="X55" s="5" t="s">
        <v>343</v>
      </c>
      <c r="Y55" s="5" t="s">
        <v>344</v>
      </c>
      <c r="Z55" s="5" t="s">
        <v>345</v>
      </c>
      <c r="AW55" s="5" t="s">
        <v>342</v>
      </c>
      <c r="AZ55" s="5" t="s">
        <v>346</v>
      </c>
      <c r="BV55" s="5" t="b">
        <v>1</v>
      </c>
      <c r="BW55" s="5" t="b">
        <v>1</v>
      </c>
      <c r="BX55" s="5" t="b">
        <v>1</v>
      </c>
      <c r="BY55" s="5" t="b">
        <v>1</v>
      </c>
      <c r="BZ55" s="5" t="b">
        <v>1</v>
      </c>
      <c r="CA55" s="5" t="b">
        <v>1</v>
      </c>
      <c r="CB55" s="5" t="b">
        <v>0</v>
      </c>
      <c r="CC55" s="5" t="b">
        <v>0</v>
      </c>
      <c r="CD55" s="5" t="b">
        <v>0</v>
      </c>
      <c r="CE55" s="5" t="b">
        <v>1</v>
      </c>
      <c r="CF55" s="5" t="b">
        <v>1</v>
      </c>
      <c r="CG55" s="5" t="b">
        <v>1</v>
      </c>
      <c r="CH55" s="5" t="b">
        <v>1</v>
      </c>
      <c r="CI55" s="5" t="b">
        <v>1</v>
      </c>
      <c r="CJ55" s="5" t="b">
        <v>1</v>
      </c>
      <c r="CK55" s="5" t="b">
        <v>0</v>
      </c>
      <c r="CL55" s="5" t="b">
        <v>0</v>
      </c>
      <c r="CM55" s="5" t="b">
        <v>0</v>
      </c>
    </row>
    <row r="56" spans="1:91" ht="210" x14ac:dyDescent="0.25">
      <c r="A56" s="188">
        <v>45735</v>
      </c>
      <c r="B56" s="5" t="s">
        <v>56</v>
      </c>
      <c r="C56" s="5" t="s">
        <v>34</v>
      </c>
      <c r="D56" s="5" t="s">
        <v>8</v>
      </c>
      <c r="E56" s="5" t="s">
        <v>10</v>
      </c>
      <c r="F56" s="5" t="s">
        <v>35</v>
      </c>
      <c r="G56" s="5" t="s">
        <v>15</v>
      </c>
      <c r="H56" s="5" t="s">
        <v>93</v>
      </c>
      <c r="M56" s="5" t="s">
        <v>9</v>
      </c>
      <c r="N56" s="5" t="s">
        <v>11</v>
      </c>
      <c r="O56" s="5" t="s">
        <v>14</v>
      </c>
      <c r="P56" s="5" t="s">
        <v>16</v>
      </c>
      <c r="Q56" s="5" t="s">
        <v>18</v>
      </c>
      <c r="R56" s="5" t="s">
        <v>20</v>
      </c>
      <c r="V56" s="5" t="s">
        <v>349</v>
      </c>
      <c r="AI56" s="5">
        <v>2300368</v>
      </c>
      <c r="AW56" s="5" t="s">
        <v>342</v>
      </c>
      <c r="AZ56" s="5" t="s">
        <v>346</v>
      </c>
      <c r="BV56" s="5" t="b">
        <v>1</v>
      </c>
      <c r="BW56" s="5" t="b">
        <v>1</v>
      </c>
      <c r="BX56" s="5" t="b">
        <v>1</v>
      </c>
      <c r="BY56" s="5" t="b">
        <v>1</v>
      </c>
      <c r="BZ56" s="5" t="b">
        <v>1</v>
      </c>
      <c r="CA56" s="5" t="b">
        <v>0</v>
      </c>
      <c r="CB56" s="5" t="b">
        <v>0</v>
      </c>
      <c r="CC56" s="5" t="b">
        <v>0</v>
      </c>
      <c r="CD56" s="5" t="b">
        <v>0</v>
      </c>
      <c r="CE56" s="5" t="b">
        <v>1</v>
      </c>
      <c r="CF56" s="5" t="b">
        <v>1</v>
      </c>
      <c r="CG56" s="5" t="b">
        <v>1</v>
      </c>
      <c r="CH56" s="5" t="b">
        <v>1</v>
      </c>
      <c r="CI56" s="5" t="b">
        <v>1</v>
      </c>
      <c r="CJ56" s="5" t="b">
        <v>1</v>
      </c>
      <c r="CK56" s="5" t="b">
        <v>0</v>
      </c>
      <c r="CL56" s="5" t="b">
        <v>0</v>
      </c>
      <c r="CM56" s="5" t="b">
        <v>0</v>
      </c>
    </row>
    <row r="57" spans="1:91" ht="210" x14ac:dyDescent="0.25">
      <c r="A57" s="188">
        <v>45735</v>
      </c>
      <c r="B57" s="5" t="s">
        <v>6</v>
      </c>
      <c r="C57" s="5" t="s">
        <v>5</v>
      </c>
      <c r="D57" s="5" t="s">
        <v>8</v>
      </c>
      <c r="E57" s="5" t="s">
        <v>10</v>
      </c>
      <c r="F57" s="5" t="s">
        <v>35</v>
      </c>
      <c r="G57" s="5" t="s">
        <v>15</v>
      </c>
      <c r="H57" s="5" t="s">
        <v>59</v>
      </c>
      <c r="I57" s="5" t="s">
        <v>37</v>
      </c>
      <c r="J57" s="5" t="s">
        <v>60</v>
      </c>
      <c r="K57" s="5" t="s">
        <v>39</v>
      </c>
      <c r="L57" s="5" t="s">
        <v>85</v>
      </c>
      <c r="M57" s="5" t="s">
        <v>9</v>
      </c>
      <c r="N57" s="5" t="s">
        <v>11</v>
      </c>
      <c r="O57" s="5" t="s">
        <v>14</v>
      </c>
      <c r="P57" s="5" t="s">
        <v>16</v>
      </c>
      <c r="Q57" s="5" t="s">
        <v>18</v>
      </c>
      <c r="R57" s="5" t="s">
        <v>20</v>
      </c>
      <c r="V57" s="5" t="s">
        <v>350</v>
      </c>
      <c r="W57" s="5" t="s">
        <v>351</v>
      </c>
      <c r="AJ57" s="5">
        <v>2303996</v>
      </c>
      <c r="AW57" s="5" t="s">
        <v>342</v>
      </c>
      <c r="AZ57" s="5" t="s">
        <v>346</v>
      </c>
      <c r="BV57" s="5" t="b">
        <v>1</v>
      </c>
      <c r="BW57" s="5" t="b">
        <v>1</v>
      </c>
      <c r="BX57" s="5" t="b">
        <v>1</v>
      </c>
      <c r="BY57" s="5" t="b">
        <v>1</v>
      </c>
      <c r="BZ57" s="5" t="b">
        <v>1</v>
      </c>
      <c r="CA57" s="5" t="b">
        <v>1</v>
      </c>
      <c r="CB57" s="5" t="b">
        <v>1</v>
      </c>
      <c r="CC57" s="5" t="b">
        <v>1</v>
      </c>
      <c r="CD57" s="5" t="b">
        <v>1</v>
      </c>
      <c r="CE57" s="5" t="b">
        <v>1</v>
      </c>
      <c r="CF57" s="5" t="b">
        <v>1</v>
      </c>
      <c r="CG57" s="5" t="b">
        <v>1</v>
      </c>
      <c r="CH57" s="5" t="b">
        <v>1</v>
      </c>
      <c r="CI57" s="5" t="b">
        <v>1</v>
      </c>
      <c r="CJ57" s="5" t="b">
        <v>1</v>
      </c>
      <c r="CK57" s="5" t="b">
        <v>0</v>
      </c>
      <c r="CL57" s="5" t="b">
        <v>0</v>
      </c>
      <c r="CM57" s="5" t="b">
        <v>0</v>
      </c>
    </row>
    <row r="58" spans="1:91" ht="210" x14ac:dyDescent="0.25">
      <c r="A58" s="188">
        <v>45736</v>
      </c>
      <c r="B58" s="5" t="s">
        <v>44</v>
      </c>
      <c r="C58" s="5" t="s">
        <v>34</v>
      </c>
      <c r="D58" s="5" t="s">
        <v>8</v>
      </c>
      <c r="E58" s="5" t="s">
        <v>10</v>
      </c>
      <c r="F58" s="5" t="s">
        <v>13</v>
      </c>
      <c r="G58" s="5" t="s">
        <v>15</v>
      </c>
      <c r="H58" s="5" t="s">
        <v>17</v>
      </c>
      <c r="I58" s="5" t="s">
        <v>19</v>
      </c>
      <c r="M58" s="5" t="s">
        <v>9</v>
      </c>
      <c r="N58" s="5" t="s">
        <v>11</v>
      </c>
      <c r="O58" s="5" t="s">
        <v>14</v>
      </c>
      <c r="P58" s="5" t="s">
        <v>16</v>
      </c>
      <c r="Q58" s="5" t="s">
        <v>18</v>
      </c>
      <c r="R58" s="5" t="s">
        <v>20</v>
      </c>
      <c r="V58" s="5" t="s">
        <v>353</v>
      </c>
      <c r="AI58" s="5">
        <v>2303999</v>
      </c>
      <c r="AV58" s="5" t="s">
        <v>352</v>
      </c>
      <c r="AW58" s="5" t="s">
        <v>342</v>
      </c>
      <c r="AZ58" s="5" t="s">
        <v>346</v>
      </c>
      <c r="BI58" s="5">
        <v>2303999</v>
      </c>
      <c r="BV58" s="5" t="b">
        <v>1</v>
      </c>
      <c r="BW58" s="5" t="b">
        <v>1</v>
      </c>
      <c r="BX58" s="5" t="b">
        <v>0</v>
      </c>
      <c r="BY58" s="5" t="b">
        <v>0</v>
      </c>
      <c r="BZ58" s="5" t="b">
        <v>0</v>
      </c>
      <c r="CA58" s="5" t="b">
        <v>1</v>
      </c>
      <c r="CB58" s="5" t="b">
        <v>0</v>
      </c>
      <c r="CC58" s="5" t="b">
        <v>0</v>
      </c>
      <c r="CD58" s="5" t="b">
        <v>0</v>
      </c>
      <c r="CE58" s="5" t="b">
        <v>1</v>
      </c>
      <c r="CF58" s="5" t="b">
        <v>1</v>
      </c>
      <c r="CG58" s="5" t="b">
        <v>1</v>
      </c>
      <c r="CH58" s="5" t="b">
        <v>1</v>
      </c>
      <c r="CI58" s="5" t="b">
        <v>1</v>
      </c>
      <c r="CJ58" s="5" t="b">
        <v>1</v>
      </c>
      <c r="CK58" s="5" t="b">
        <v>0</v>
      </c>
      <c r="CL58" s="5" t="b">
        <v>0</v>
      </c>
      <c r="CM58" s="5" t="b">
        <v>0</v>
      </c>
    </row>
    <row r="59" spans="1:91" ht="60" x14ac:dyDescent="0.25">
      <c r="A59" s="188">
        <v>45736</v>
      </c>
      <c r="B59" s="5" t="s">
        <v>56</v>
      </c>
      <c r="C59" s="5" t="s">
        <v>57</v>
      </c>
      <c r="D59" s="5" t="s">
        <v>8</v>
      </c>
      <c r="E59" s="5" t="s">
        <v>10</v>
      </c>
      <c r="F59" s="5" t="s">
        <v>35</v>
      </c>
      <c r="G59" s="5" t="s">
        <v>15</v>
      </c>
      <c r="H59" s="5" t="s">
        <v>93</v>
      </c>
      <c r="M59" s="5" t="s">
        <v>9</v>
      </c>
      <c r="N59" s="5" t="s">
        <v>11</v>
      </c>
      <c r="O59" s="5" t="s">
        <v>14</v>
      </c>
      <c r="P59" s="5" t="s">
        <v>16</v>
      </c>
      <c r="Q59" s="5" t="s">
        <v>18</v>
      </c>
      <c r="R59" s="5" t="s">
        <v>20</v>
      </c>
      <c r="V59" s="5" t="s">
        <v>354</v>
      </c>
      <c r="W59" s="5" t="s">
        <v>355</v>
      </c>
      <c r="X59" s="5" t="s">
        <v>356</v>
      </c>
      <c r="Y59" s="5" t="s">
        <v>357</v>
      </c>
      <c r="AI59" s="5">
        <v>2304985</v>
      </c>
      <c r="AJ59" s="5">
        <v>2305003</v>
      </c>
      <c r="AK59" s="5">
        <v>2305009</v>
      </c>
      <c r="AL59" s="5" t="s">
        <v>358</v>
      </c>
      <c r="BV59" s="5" t="b">
        <v>1</v>
      </c>
      <c r="BW59" s="5" t="b">
        <v>1</v>
      </c>
      <c r="BX59" s="5" t="b">
        <v>1</v>
      </c>
      <c r="BY59" s="5" t="b">
        <v>1</v>
      </c>
      <c r="BZ59" s="5" t="b">
        <v>1</v>
      </c>
      <c r="CA59" s="5" t="b">
        <v>0</v>
      </c>
      <c r="CB59" s="5" t="b">
        <v>0</v>
      </c>
      <c r="CC59" s="5" t="b">
        <v>0</v>
      </c>
      <c r="CD59" s="5" t="b">
        <v>0</v>
      </c>
      <c r="CE59" s="5" t="b">
        <v>1</v>
      </c>
      <c r="CF59" s="5" t="b">
        <v>1</v>
      </c>
      <c r="CG59" s="5" t="b">
        <v>1</v>
      </c>
      <c r="CH59" s="5" t="b">
        <v>1</v>
      </c>
      <c r="CI59" s="5" t="b">
        <v>1</v>
      </c>
      <c r="CJ59" s="5" t="b">
        <v>1</v>
      </c>
      <c r="CK59" s="5" t="b">
        <v>0</v>
      </c>
      <c r="CL59" s="5" t="b">
        <v>0</v>
      </c>
      <c r="CM59" s="5" t="b">
        <v>0</v>
      </c>
    </row>
    <row r="60" spans="1:91" ht="210" x14ac:dyDescent="0.25">
      <c r="A60" s="188">
        <v>45736</v>
      </c>
      <c r="B60" s="5" t="s">
        <v>6</v>
      </c>
      <c r="C60" s="5" t="s">
        <v>5</v>
      </c>
      <c r="D60" s="5" t="s">
        <v>8</v>
      </c>
      <c r="E60" s="5" t="s">
        <v>10</v>
      </c>
      <c r="F60" s="5" t="s">
        <v>35</v>
      </c>
      <c r="G60" s="5" t="s">
        <v>15</v>
      </c>
      <c r="H60" s="5" t="s">
        <v>59</v>
      </c>
      <c r="I60" s="5" t="s">
        <v>37</v>
      </c>
      <c r="J60" s="5" t="s">
        <v>60</v>
      </c>
      <c r="K60" s="5" t="s">
        <v>39</v>
      </c>
      <c r="L60" s="5" t="s">
        <v>85</v>
      </c>
      <c r="M60" s="5" t="s">
        <v>9</v>
      </c>
      <c r="N60" s="5" t="s">
        <v>11</v>
      </c>
      <c r="O60" s="5" t="s">
        <v>14</v>
      </c>
      <c r="P60" s="5" t="s">
        <v>16</v>
      </c>
      <c r="Q60" s="5" t="s">
        <v>18</v>
      </c>
      <c r="R60" s="5" t="s">
        <v>20</v>
      </c>
      <c r="AW60" s="5" t="s">
        <v>342</v>
      </c>
      <c r="AZ60" s="5" t="s">
        <v>346</v>
      </c>
      <c r="BV60" s="5" t="b">
        <v>1</v>
      </c>
      <c r="BW60" s="5" t="b">
        <v>1</v>
      </c>
      <c r="BX60" s="5" t="b">
        <v>1</v>
      </c>
      <c r="BY60" s="5" t="b">
        <v>1</v>
      </c>
      <c r="BZ60" s="5" t="b">
        <v>1</v>
      </c>
      <c r="CA60" s="5" t="b">
        <v>1</v>
      </c>
      <c r="CB60" s="5" t="b">
        <v>1</v>
      </c>
      <c r="CC60" s="5" t="b">
        <v>1</v>
      </c>
      <c r="CD60" s="5" t="b">
        <v>1</v>
      </c>
      <c r="CE60" s="5" t="b">
        <v>1</v>
      </c>
      <c r="CF60" s="5" t="b">
        <v>1</v>
      </c>
      <c r="CG60" s="5" t="b">
        <v>1</v>
      </c>
      <c r="CH60" s="5" t="b">
        <v>1</v>
      </c>
      <c r="CI60" s="5" t="b">
        <v>1</v>
      </c>
      <c r="CJ60" s="5" t="b">
        <v>1</v>
      </c>
      <c r="CK60" s="5" t="b">
        <v>0</v>
      </c>
      <c r="CL60" s="5" t="b">
        <v>0</v>
      </c>
      <c r="CM60" s="5" t="b">
        <v>0</v>
      </c>
    </row>
    <row r="61" spans="1:91" ht="210" x14ac:dyDescent="0.25">
      <c r="A61" s="188">
        <v>45737</v>
      </c>
      <c r="B61" s="5" t="s">
        <v>64</v>
      </c>
      <c r="C61" s="5" t="s">
        <v>57</v>
      </c>
      <c r="D61" s="5" t="s">
        <v>8</v>
      </c>
      <c r="E61" s="5" t="s">
        <v>10</v>
      </c>
      <c r="F61" s="5" t="s">
        <v>35</v>
      </c>
      <c r="G61" s="5" t="s">
        <v>15</v>
      </c>
      <c r="H61" s="5" t="s">
        <v>65</v>
      </c>
      <c r="M61" s="5" t="s">
        <v>9</v>
      </c>
      <c r="N61" s="5" t="s">
        <v>11</v>
      </c>
      <c r="O61" s="5" t="s">
        <v>14</v>
      </c>
      <c r="P61" s="5" t="s">
        <v>16</v>
      </c>
      <c r="Q61" s="5" t="s">
        <v>18</v>
      </c>
      <c r="R61" s="5" t="s">
        <v>20</v>
      </c>
      <c r="V61" s="5" t="s">
        <v>361</v>
      </c>
      <c r="W61" s="5" t="s">
        <v>362</v>
      </c>
      <c r="AI61" s="5">
        <v>2306492</v>
      </c>
      <c r="AJ61" s="5">
        <v>2306493</v>
      </c>
      <c r="AV61" s="5" t="s">
        <v>352</v>
      </c>
      <c r="AW61" s="5" t="s">
        <v>342</v>
      </c>
      <c r="AZ61" s="5" t="s">
        <v>346</v>
      </c>
      <c r="BV61" s="5" t="b">
        <v>1</v>
      </c>
      <c r="BW61" s="5" t="b">
        <v>1</v>
      </c>
      <c r="BX61" s="5" t="b">
        <v>1</v>
      </c>
      <c r="BY61" s="5" t="b">
        <v>1</v>
      </c>
      <c r="BZ61" s="5" t="b">
        <v>1</v>
      </c>
      <c r="CA61" s="5" t="b">
        <v>0</v>
      </c>
      <c r="CB61" s="5" t="b">
        <v>0</v>
      </c>
      <c r="CC61" s="5" t="b">
        <v>0</v>
      </c>
      <c r="CD61" s="5" t="b">
        <v>0</v>
      </c>
      <c r="CE61" s="5" t="b">
        <v>1</v>
      </c>
      <c r="CF61" s="5" t="b">
        <v>1</v>
      </c>
      <c r="CG61" s="5" t="b">
        <v>1</v>
      </c>
      <c r="CH61" s="5" t="b">
        <v>1</v>
      </c>
      <c r="CI61" s="5" t="b">
        <v>1</v>
      </c>
      <c r="CJ61" s="5" t="b">
        <v>1</v>
      </c>
      <c r="CK61" s="5" t="b">
        <v>0</v>
      </c>
      <c r="CL61" s="5" t="b">
        <v>0</v>
      </c>
      <c r="CM61" s="5" t="b">
        <v>0</v>
      </c>
    </row>
    <row r="62" spans="1:91" ht="210" x14ac:dyDescent="0.25">
      <c r="A62" s="188">
        <v>45738</v>
      </c>
      <c r="B62" s="5" t="s">
        <v>66</v>
      </c>
      <c r="C62" s="5" t="s">
        <v>5</v>
      </c>
      <c r="D62" s="5" t="s">
        <v>8</v>
      </c>
      <c r="E62" s="5" t="s">
        <v>10</v>
      </c>
      <c r="F62" s="5" t="s">
        <v>35</v>
      </c>
      <c r="G62" s="5" t="s">
        <v>15</v>
      </c>
      <c r="H62" s="5" t="s">
        <v>67</v>
      </c>
      <c r="I62" s="5" t="s">
        <v>37</v>
      </c>
      <c r="J62" s="5" t="s">
        <v>60</v>
      </c>
      <c r="K62" s="5" t="s">
        <v>39</v>
      </c>
      <c r="L62" s="5" t="s">
        <v>85</v>
      </c>
      <c r="M62" s="5" t="s">
        <v>9</v>
      </c>
      <c r="N62" s="5" t="s">
        <v>11</v>
      </c>
      <c r="O62" s="5" t="s">
        <v>14</v>
      </c>
      <c r="P62" s="5" t="s">
        <v>16</v>
      </c>
      <c r="Q62" s="5" t="s">
        <v>18</v>
      </c>
      <c r="R62" s="5" t="s">
        <v>20</v>
      </c>
      <c r="AV62" s="5" t="s">
        <v>352</v>
      </c>
      <c r="AW62" s="5" t="s">
        <v>342</v>
      </c>
      <c r="AZ62" s="5" t="s">
        <v>346</v>
      </c>
      <c r="BV62" s="5" t="b">
        <v>1</v>
      </c>
      <c r="BW62" s="5" t="b">
        <v>1</v>
      </c>
      <c r="BX62" s="5" t="b">
        <v>1</v>
      </c>
      <c r="BY62" s="5" t="b">
        <v>1</v>
      </c>
      <c r="BZ62" s="5" t="b">
        <v>1</v>
      </c>
      <c r="CA62" s="5" t="b">
        <v>1</v>
      </c>
      <c r="CB62" s="5" t="b">
        <v>0</v>
      </c>
      <c r="CC62" s="5" t="b">
        <v>1</v>
      </c>
      <c r="CD62" s="5" t="b">
        <v>0</v>
      </c>
      <c r="CE62" s="5" t="b">
        <v>1</v>
      </c>
      <c r="CF62" s="5" t="b">
        <v>1</v>
      </c>
      <c r="CG62" s="5" t="b">
        <v>1</v>
      </c>
      <c r="CH62" s="5" t="b">
        <v>1</v>
      </c>
      <c r="CI62" s="5" t="b">
        <v>1</v>
      </c>
      <c r="CJ62" s="5" t="b">
        <v>1</v>
      </c>
      <c r="CK62" s="5" t="b">
        <v>0</v>
      </c>
      <c r="CL62" s="5" t="b">
        <v>0</v>
      </c>
      <c r="CM62" s="5" t="b">
        <v>0</v>
      </c>
    </row>
    <row r="63" spans="1:91" ht="210" x14ac:dyDescent="0.25">
      <c r="A63" s="188">
        <v>45739</v>
      </c>
      <c r="B63" s="5" t="s">
        <v>44</v>
      </c>
      <c r="C63" s="5" t="s">
        <v>363</v>
      </c>
      <c r="D63" s="5" t="s">
        <v>8</v>
      </c>
      <c r="E63" s="5" t="s">
        <v>10</v>
      </c>
      <c r="F63" s="5" t="s">
        <v>13</v>
      </c>
      <c r="G63" s="5" t="s">
        <v>15</v>
      </c>
      <c r="H63" s="5" t="s">
        <v>17</v>
      </c>
      <c r="I63" s="5" t="s">
        <v>19</v>
      </c>
      <c r="M63" s="5" t="s">
        <v>9</v>
      </c>
      <c r="N63" s="5" t="s">
        <v>11</v>
      </c>
      <c r="O63" s="5" t="s">
        <v>14</v>
      </c>
      <c r="P63" s="5" t="s">
        <v>16</v>
      </c>
      <c r="Q63" s="5" t="s">
        <v>18</v>
      </c>
      <c r="R63" s="5" t="s">
        <v>20</v>
      </c>
      <c r="V63" s="5" t="s">
        <v>364</v>
      </c>
      <c r="W63" s="5" t="s">
        <v>365</v>
      </c>
      <c r="AJ63" s="5">
        <v>2309180</v>
      </c>
      <c r="AV63" s="5" t="s">
        <v>352</v>
      </c>
      <c r="AW63" s="5" t="s">
        <v>342</v>
      </c>
      <c r="BV63" s="5" t="b">
        <v>1</v>
      </c>
      <c r="BW63" s="5" t="b">
        <v>1</v>
      </c>
      <c r="BX63" s="5" t="b">
        <v>1</v>
      </c>
      <c r="BY63" s="5" t="b">
        <v>1</v>
      </c>
      <c r="BZ63" s="5" t="b">
        <v>0</v>
      </c>
      <c r="CA63" s="5" t="b">
        <v>1</v>
      </c>
      <c r="CB63" s="5" t="b">
        <v>0</v>
      </c>
      <c r="CC63" s="5" t="b">
        <v>0</v>
      </c>
      <c r="CD63" s="5" t="b">
        <v>0</v>
      </c>
      <c r="CE63" s="5" t="b">
        <v>1</v>
      </c>
      <c r="CF63" s="5" t="b">
        <v>1</v>
      </c>
      <c r="CG63" s="5" t="b">
        <v>1</v>
      </c>
      <c r="CH63" s="5" t="b">
        <v>1</v>
      </c>
      <c r="CI63" s="5" t="b">
        <v>1</v>
      </c>
      <c r="CJ63" s="5" t="b">
        <v>1</v>
      </c>
      <c r="CK63" s="5" t="b">
        <v>0</v>
      </c>
      <c r="CL63" s="5" t="b">
        <v>0</v>
      </c>
      <c r="CM63" s="5" t="b">
        <v>0</v>
      </c>
    </row>
    <row r="64" spans="1:91" ht="210" x14ac:dyDescent="0.25">
      <c r="A64" s="188">
        <v>45739</v>
      </c>
      <c r="B64" s="5" t="s">
        <v>56</v>
      </c>
      <c r="C64" s="5" t="s">
        <v>5</v>
      </c>
      <c r="D64" s="5" t="s">
        <v>8</v>
      </c>
      <c r="E64" s="5" t="s">
        <v>10</v>
      </c>
      <c r="F64" s="5" t="s">
        <v>35</v>
      </c>
      <c r="G64" s="5" t="s">
        <v>15</v>
      </c>
      <c r="H64" s="5" t="s">
        <v>93</v>
      </c>
      <c r="M64" s="5" t="s">
        <v>9</v>
      </c>
      <c r="N64" s="5" t="s">
        <v>11</v>
      </c>
      <c r="O64" s="5" t="s">
        <v>14</v>
      </c>
      <c r="P64" s="5" t="s">
        <v>16</v>
      </c>
      <c r="Q64" s="5" t="s">
        <v>18</v>
      </c>
      <c r="R64" s="5" t="s">
        <v>20</v>
      </c>
      <c r="V64" s="5" t="s">
        <v>366</v>
      </c>
      <c r="AI64" s="5">
        <v>2309574</v>
      </c>
      <c r="AV64" s="5" t="s">
        <v>352</v>
      </c>
      <c r="AW64" s="5" t="s">
        <v>342</v>
      </c>
      <c r="BV64" s="5" t="b">
        <v>1</v>
      </c>
      <c r="BW64" s="5" t="b">
        <v>1</v>
      </c>
      <c r="BX64" s="5" t="b">
        <v>1</v>
      </c>
      <c r="BY64" s="5" t="b">
        <v>1</v>
      </c>
      <c r="BZ64" s="5" t="b">
        <v>1</v>
      </c>
      <c r="CA64" s="5" t="b">
        <v>0</v>
      </c>
      <c r="CB64" s="5" t="b">
        <v>0</v>
      </c>
      <c r="CC64" s="5" t="b">
        <v>0</v>
      </c>
      <c r="CD64" s="5" t="b">
        <v>0</v>
      </c>
      <c r="CE64" s="5" t="b">
        <v>1</v>
      </c>
      <c r="CF64" s="5" t="b">
        <v>1</v>
      </c>
      <c r="CG64" s="5" t="b">
        <v>1</v>
      </c>
      <c r="CH64" s="5" t="b">
        <v>1</v>
      </c>
      <c r="CI64" s="5" t="b">
        <v>1</v>
      </c>
      <c r="CJ64" s="5" t="b">
        <v>1</v>
      </c>
      <c r="CK64" s="5" t="b">
        <v>0</v>
      </c>
      <c r="CL64" s="5" t="b">
        <v>0</v>
      </c>
      <c r="CM64" s="5" t="b">
        <v>0</v>
      </c>
    </row>
    <row r="65" spans="1:91" ht="210" x14ac:dyDescent="0.25">
      <c r="A65" s="188">
        <v>45739</v>
      </c>
      <c r="B65" s="5" t="s">
        <v>6</v>
      </c>
      <c r="C65" s="5" t="s">
        <v>57</v>
      </c>
      <c r="D65" s="5" t="s">
        <v>8</v>
      </c>
      <c r="E65" s="5" t="s">
        <v>10</v>
      </c>
      <c r="F65" s="5" t="s">
        <v>35</v>
      </c>
      <c r="G65" s="5" t="s">
        <v>15</v>
      </c>
      <c r="H65" s="5" t="s">
        <v>59</v>
      </c>
      <c r="I65" s="5" t="s">
        <v>37</v>
      </c>
      <c r="J65" s="5" t="s">
        <v>60</v>
      </c>
      <c r="K65" s="5" t="s">
        <v>39</v>
      </c>
      <c r="L65" s="5" t="s">
        <v>85</v>
      </c>
      <c r="M65" s="5" t="s">
        <v>9</v>
      </c>
      <c r="N65" s="5" t="s">
        <v>11</v>
      </c>
      <c r="O65" s="5" t="s">
        <v>14</v>
      </c>
      <c r="P65" s="5" t="s">
        <v>16</v>
      </c>
      <c r="Q65" s="5" t="s">
        <v>18</v>
      </c>
      <c r="R65" s="5" t="s">
        <v>20</v>
      </c>
      <c r="AV65" s="5" t="s">
        <v>352</v>
      </c>
      <c r="AW65" s="5" t="s">
        <v>342</v>
      </c>
      <c r="BV65" s="5" t="b">
        <v>1</v>
      </c>
      <c r="BW65" s="5" t="b">
        <v>1</v>
      </c>
      <c r="BX65" s="5" t="b">
        <v>1</v>
      </c>
      <c r="BY65" s="5" t="b">
        <v>1</v>
      </c>
      <c r="BZ65" s="5" t="b">
        <v>1</v>
      </c>
      <c r="CA65" s="5" t="b">
        <v>1</v>
      </c>
      <c r="CB65" s="5" t="b">
        <v>1</v>
      </c>
      <c r="CC65" s="5" t="b">
        <v>1</v>
      </c>
      <c r="CD65" s="5" t="b">
        <v>1</v>
      </c>
      <c r="CE65" s="5" t="b">
        <v>1</v>
      </c>
      <c r="CF65" s="5" t="b">
        <v>1</v>
      </c>
      <c r="CG65" s="5" t="b">
        <v>1</v>
      </c>
      <c r="CH65" s="5" t="b">
        <v>1</v>
      </c>
      <c r="CI65" s="5" t="b">
        <v>1</v>
      </c>
      <c r="CJ65" s="5" t="b">
        <v>1</v>
      </c>
      <c r="CK65" s="5" t="b">
        <v>0</v>
      </c>
      <c r="CL65" s="5" t="b">
        <v>0</v>
      </c>
      <c r="CM65" s="5" t="b">
        <v>0</v>
      </c>
    </row>
    <row r="66" spans="1:91" ht="210" x14ac:dyDescent="0.25">
      <c r="A66" s="188">
        <v>45740</v>
      </c>
      <c r="B66" s="5" t="s">
        <v>44</v>
      </c>
      <c r="C66" s="5" t="s">
        <v>363</v>
      </c>
      <c r="D66" s="5" t="s">
        <v>8</v>
      </c>
      <c r="E66" s="5" t="s">
        <v>10</v>
      </c>
      <c r="F66" s="5" t="s">
        <v>13</v>
      </c>
      <c r="G66" s="5" t="s">
        <v>15</v>
      </c>
      <c r="H66" s="5" t="s">
        <v>17</v>
      </c>
      <c r="I66" s="5" t="s">
        <v>19</v>
      </c>
      <c r="M66" s="5" t="s">
        <v>9</v>
      </c>
      <c r="N66" s="5" t="s">
        <v>11</v>
      </c>
      <c r="O66" s="5" t="s">
        <v>14</v>
      </c>
      <c r="P66" s="5" t="s">
        <v>16</v>
      </c>
      <c r="Q66" s="5" t="s">
        <v>18</v>
      </c>
      <c r="R66" s="5" t="s">
        <v>20</v>
      </c>
      <c r="V66" s="5" t="s">
        <v>367</v>
      </c>
      <c r="AV66" s="5" t="s">
        <v>352</v>
      </c>
      <c r="AW66" s="5" t="s">
        <v>342</v>
      </c>
      <c r="BV66" s="5" t="b">
        <v>1</v>
      </c>
      <c r="BW66" s="5" t="b">
        <v>1</v>
      </c>
      <c r="BX66" s="5" t="b">
        <v>1</v>
      </c>
      <c r="BY66" s="5" t="b">
        <v>1</v>
      </c>
      <c r="BZ66" s="5" t="b">
        <v>0</v>
      </c>
      <c r="CA66" s="5" t="b">
        <v>1</v>
      </c>
      <c r="CB66" s="5" t="b">
        <v>0</v>
      </c>
      <c r="CC66" s="5" t="b">
        <v>0</v>
      </c>
      <c r="CD66" s="5" t="b">
        <v>0</v>
      </c>
      <c r="CE66" s="5" t="b">
        <v>1</v>
      </c>
      <c r="CF66" s="5" t="b">
        <v>1</v>
      </c>
      <c r="CG66" s="5" t="b">
        <v>1</v>
      </c>
      <c r="CH66" s="5" t="b">
        <v>1</v>
      </c>
      <c r="CI66" s="5" t="b">
        <v>1</v>
      </c>
      <c r="CJ66" s="5" t="b">
        <v>1</v>
      </c>
      <c r="CK66" s="5" t="b">
        <v>0</v>
      </c>
      <c r="CL66" s="5" t="b">
        <v>0</v>
      </c>
      <c r="CM66" s="5" t="b">
        <v>0</v>
      </c>
    </row>
    <row r="67" spans="1:91" ht="210" x14ac:dyDescent="0.25">
      <c r="A67" s="188">
        <v>45740</v>
      </c>
      <c r="B67" s="5" t="s">
        <v>6</v>
      </c>
      <c r="C67" s="5" t="s">
        <v>57</v>
      </c>
      <c r="D67" s="5" t="s">
        <v>8</v>
      </c>
      <c r="E67" s="5" t="s">
        <v>10</v>
      </c>
      <c r="F67" s="5" t="s">
        <v>35</v>
      </c>
      <c r="G67" s="5" t="s">
        <v>15</v>
      </c>
      <c r="H67" s="5" t="s">
        <v>59</v>
      </c>
      <c r="I67" s="5" t="s">
        <v>37</v>
      </c>
      <c r="J67" s="5" t="s">
        <v>60</v>
      </c>
      <c r="K67" s="5" t="s">
        <v>39</v>
      </c>
      <c r="L67" s="5" t="s">
        <v>85</v>
      </c>
      <c r="M67" s="5" t="s">
        <v>9</v>
      </c>
      <c r="N67" s="5" t="s">
        <v>11</v>
      </c>
      <c r="O67" s="5" t="s">
        <v>14</v>
      </c>
      <c r="P67" s="5" t="s">
        <v>16</v>
      </c>
      <c r="Q67" s="5" t="s">
        <v>18</v>
      </c>
      <c r="R67" s="5" t="s">
        <v>20</v>
      </c>
      <c r="V67" s="5" t="s">
        <v>370</v>
      </c>
      <c r="AI67" s="5">
        <v>2313498</v>
      </c>
      <c r="AV67" s="5" t="s">
        <v>352</v>
      </c>
      <c r="AW67" s="5" t="s">
        <v>342</v>
      </c>
      <c r="BV67" s="5" t="b">
        <v>1</v>
      </c>
      <c r="BW67" s="5" t="b">
        <v>1</v>
      </c>
      <c r="BX67" s="5" t="b">
        <v>1</v>
      </c>
      <c r="BY67" s="5" t="b">
        <v>1</v>
      </c>
      <c r="BZ67" s="5" t="b">
        <v>1</v>
      </c>
      <c r="CA67" s="5" t="b">
        <v>1</v>
      </c>
      <c r="CB67" s="5" t="b">
        <v>1</v>
      </c>
      <c r="CC67" s="5" t="b">
        <v>1</v>
      </c>
      <c r="CD67" s="5" t="b">
        <v>1</v>
      </c>
      <c r="CE67" s="5" t="b">
        <v>1</v>
      </c>
      <c r="CF67" s="5" t="b">
        <v>1</v>
      </c>
      <c r="CG67" s="5" t="b">
        <v>1</v>
      </c>
      <c r="CH67" s="5" t="b">
        <v>1</v>
      </c>
      <c r="CI67" s="5" t="b">
        <v>1</v>
      </c>
      <c r="CJ67" s="5" t="b">
        <v>1</v>
      </c>
      <c r="CK67" s="5" t="b">
        <v>0</v>
      </c>
      <c r="CL67" s="5" t="b">
        <v>0</v>
      </c>
      <c r="CM67" s="5" t="b">
        <v>0</v>
      </c>
    </row>
    <row r="68" spans="1:91" ht="210" x14ac:dyDescent="0.25">
      <c r="A68" s="188">
        <v>45741</v>
      </c>
      <c r="B68" s="5" t="s">
        <v>44</v>
      </c>
      <c r="C68" s="5" t="s">
        <v>34</v>
      </c>
      <c r="D68" s="5" t="s">
        <v>8</v>
      </c>
      <c r="E68" s="5" t="s">
        <v>10</v>
      </c>
      <c r="F68" s="5" t="s">
        <v>13</v>
      </c>
      <c r="G68" s="5" t="s">
        <v>15</v>
      </c>
      <c r="H68" s="5" t="s">
        <v>17</v>
      </c>
      <c r="I68" s="5" t="s">
        <v>19</v>
      </c>
      <c r="M68" s="5" t="s">
        <v>9</v>
      </c>
      <c r="N68" s="5" t="s">
        <v>11</v>
      </c>
      <c r="O68" s="5" t="s">
        <v>14</v>
      </c>
      <c r="P68" s="5" t="s">
        <v>16</v>
      </c>
      <c r="Q68" s="5" t="s">
        <v>18</v>
      </c>
      <c r="R68" s="5" t="s">
        <v>20</v>
      </c>
      <c r="V68" s="5" t="s">
        <v>371</v>
      </c>
      <c r="AV68" s="5" t="s">
        <v>352</v>
      </c>
      <c r="AW68" s="5" t="s">
        <v>342</v>
      </c>
      <c r="BV68" s="5" t="b">
        <v>1</v>
      </c>
      <c r="BW68" s="5" t="b">
        <v>1</v>
      </c>
      <c r="BX68" s="5" t="b">
        <v>1</v>
      </c>
      <c r="BY68" s="5" t="b">
        <v>1</v>
      </c>
      <c r="BZ68" s="5" t="b">
        <v>0</v>
      </c>
      <c r="CA68" s="5" t="b">
        <v>1</v>
      </c>
      <c r="CB68" s="5" t="b">
        <v>0</v>
      </c>
      <c r="CC68" s="5" t="b">
        <v>0</v>
      </c>
      <c r="CD68" s="5" t="b">
        <v>0</v>
      </c>
      <c r="CE68" s="5" t="b">
        <v>1</v>
      </c>
      <c r="CF68" s="5" t="b">
        <v>1</v>
      </c>
      <c r="CG68" s="5" t="b">
        <v>1</v>
      </c>
      <c r="CH68" s="5" t="b">
        <v>1</v>
      </c>
      <c r="CI68" s="5" t="b">
        <v>1</v>
      </c>
      <c r="CJ68" s="5" t="b">
        <v>1</v>
      </c>
      <c r="CK68" s="5" t="b">
        <v>0</v>
      </c>
      <c r="CL68" s="5" t="b">
        <v>0</v>
      </c>
      <c r="CM68" s="5" t="b">
        <v>0</v>
      </c>
    </row>
    <row r="69" spans="1:91" ht="210" x14ac:dyDescent="0.25">
      <c r="A69" s="188">
        <v>45741</v>
      </c>
      <c r="B69" s="5" t="s">
        <v>56</v>
      </c>
      <c r="C69" s="5" t="s">
        <v>5</v>
      </c>
      <c r="D69" s="5" t="s">
        <v>8</v>
      </c>
      <c r="E69" s="5" t="s">
        <v>10</v>
      </c>
      <c r="F69" s="5" t="s">
        <v>35</v>
      </c>
      <c r="G69" s="5" t="s">
        <v>15</v>
      </c>
      <c r="H69" s="5" t="s">
        <v>93</v>
      </c>
      <c r="M69" s="5" t="s">
        <v>9</v>
      </c>
      <c r="N69" s="5" t="s">
        <v>11</v>
      </c>
      <c r="O69" s="5" t="s">
        <v>14</v>
      </c>
      <c r="P69" s="5" t="s">
        <v>16</v>
      </c>
      <c r="Q69" s="5" t="s">
        <v>18</v>
      </c>
      <c r="R69" s="5" t="s">
        <v>20</v>
      </c>
      <c r="AV69" s="5" t="s">
        <v>352</v>
      </c>
      <c r="AW69" s="5" t="s">
        <v>342</v>
      </c>
      <c r="BV69" s="5" t="b">
        <v>1</v>
      </c>
      <c r="BW69" s="5" t="b">
        <v>1</v>
      </c>
      <c r="BX69" s="5" t="b">
        <v>1</v>
      </c>
      <c r="BY69" s="5" t="b">
        <v>1</v>
      </c>
      <c r="BZ69" s="5" t="b">
        <v>1</v>
      </c>
      <c r="CA69" s="5" t="b">
        <v>0</v>
      </c>
      <c r="CB69" s="5" t="b">
        <v>0</v>
      </c>
      <c r="CC69" s="5" t="b">
        <v>0</v>
      </c>
      <c r="CD69" s="5" t="b">
        <v>0</v>
      </c>
      <c r="CE69" s="5" t="b">
        <v>1</v>
      </c>
      <c r="CF69" s="5" t="b">
        <v>1</v>
      </c>
      <c r="CG69" s="5" t="b">
        <v>1</v>
      </c>
      <c r="CH69" s="5" t="b">
        <v>1</v>
      </c>
      <c r="CI69" s="5" t="b">
        <v>1</v>
      </c>
      <c r="CJ69" s="5" t="b">
        <v>1</v>
      </c>
      <c r="CK69" s="5" t="b">
        <v>0</v>
      </c>
      <c r="CL69" s="5" t="b">
        <v>0</v>
      </c>
      <c r="CM69" s="5" t="b">
        <v>0</v>
      </c>
    </row>
    <row r="70" spans="1:91" ht="210" x14ac:dyDescent="0.25">
      <c r="A70" s="188">
        <v>45741</v>
      </c>
      <c r="B70" s="5" t="s">
        <v>6</v>
      </c>
      <c r="C70" s="5" t="s">
        <v>57</v>
      </c>
      <c r="D70" s="5" t="s">
        <v>8</v>
      </c>
      <c r="E70" s="5" t="s">
        <v>10</v>
      </c>
      <c r="F70" s="5" t="s">
        <v>35</v>
      </c>
      <c r="G70" s="5" t="s">
        <v>15</v>
      </c>
      <c r="H70" s="5" t="s">
        <v>59</v>
      </c>
      <c r="I70" s="5" t="s">
        <v>37</v>
      </c>
      <c r="J70" s="5" t="s">
        <v>60</v>
      </c>
      <c r="K70" s="5" t="s">
        <v>39</v>
      </c>
      <c r="L70" s="5" t="s">
        <v>85</v>
      </c>
      <c r="M70" s="5" t="s">
        <v>9</v>
      </c>
      <c r="N70" s="5" t="s">
        <v>11</v>
      </c>
      <c r="O70" s="5" t="s">
        <v>14</v>
      </c>
      <c r="P70" s="5" t="s">
        <v>16</v>
      </c>
      <c r="Q70" s="5" t="s">
        <v>18</v>
      </c>
      <c r="R70" s="5" t="s">
        <v>20</v>
      </c>
      <c r="V70" s="5" t="s">
        <v>373</v>
      </c>
      <c r="AI70" s="5" t="s">
        <v>372</v>
      </c>
      <c r="AV70" s="5" t="s">
        <v>352</v>
      </c>
      <c r="AW70" s="5" t="s">
        <v>342</v>
      </c>
      <c r="BV70" s="5" t="b">
        <v>1</v>
      </c>
      <c r="BW70" s="5" t="b">
        <v>1</v>
      </c>
      <c r="BX70" s="5" t="b">
        <v>1</v>
      </c>
      <c r="BY70" s="5" t="b">
        <v>1</v>
      </c>
      <c r="BZ70" s="5" t="b">
        <v>1</v>
      </c>
      <c r="CA70" s="5" t="b">
        <v>1</v>
      </c>
      <c r="CB70" s="5" t="b">
        <v>1</v>
      </c>
      <c r="CC70" s="5" t="b">
        <v>1</v>
      </c>
      <c r="CD70" s="5" t="b">
        <v>1</v>
      </c>
      <c r="CE70" s="5" t="b">
        <v>1</v>
      </c>
      <c r="CF70" s="5" t="b">
        <v>1</v>
      </c>
      <c r="CG70" s="5" t="b">
        <v>1</v>
      </c>
      <c r="CH70" s="5" t="b">
        <v>1</v>
      </c>
      <c r="CI70" s="5" t="b">
        <v>1</v>
      </c>
      <c r="CJ70" s="5" t="b">
        <v>1</v>
      </c>
      <c r="CK70" s="5" t="b">
        <v>0</v>
      </c>
      <c r="CL70" s="5" t="b">
        <v>0</v>
      </c>
      <c r="CM70" s="5" t="b">
        <v>0</v>
      </c>
    </row>
    <row r="71" spans="1:91" ht="210" x14ac:dyDescent="0.25">
      <c r="A71" s="188">
        <v>45742</v>
      </c>
      <c r="B71" s="5" t="s">
        <v>56</v>
      </c>
      <c r="C71" s="5" t="s">
        <v>57</v>
      </c>
      <c r="D71" s="5" t="s">
        <v>8</v>
      </c>
      <c r="E71" s="5" t="s">
        <v>10</v>
      </c>
      <c r="F71" s="5" t="s">
        <v>35</v>
      </c>
      <c r="G71" s="5" t="s">
        <v>15</v>
      </c>
      <c r="H71" s="5" t="s">
        <v>93</v>
      </c>
      <c r="M71" s="5" t="s">
        <v>9</v>
      </c>
      <c r="N71" s="5" t="s">
        <v>11</v>
      </c>
      <c r="O71" s="5" t="s">
        <v>14</v>
      </c>
      <c r="P71" s="5" t="s">
        <v>16</v>
      </c>
      <c r="Q71" s="5" t="s">
        <v>18</v>
      </c>
      <c r="R71" s="5" t="s">
        <v>20</v>
      </c>
      <c r="AV71" s="5" t="s">
        <v>352</v>
      </c>
      <c r="AW71" s="5" t="s">
        <v>342</v>
      </c>
      <c r="BV71" s="5" t="b">
        <v>1</v>
      </c>
      <c r="BW71" s="5" t="b">
        <v>1</v>
      </c>
      <c r="BX71" s="5" t="b">
        <v>1</v>
      </c>
      <c r="BY71" s="5" t="b">
        <v>1</v>
      </c>
      <c r="BZ71" s="5" t="b">
        <v>1</v>
      </c>
      <c r="CA71" s="5" t="b">
        <v>0</v>
      </c>
      <c r="CB71" s="5" t="b">
        <v>0</v>
      </c>
      <c r="CC71" s="5" t="b">
        <v>0</v>
      </c>
      <c r="CD71" s="5" t="b">
        <v>0</v>
      </c>
      <c r="CE71" s="5" t="b">
        <v>1</v>
      </c>
      <c r="CF71" s="5" t="b">
        <v>1</v>
      </c>
      <c r="CG71" s="5" t="b">
        <v>1</v>
      </c>
      <c r="CH71" s="5" t="b">
        <v>1</v>
      </c>
      <c r="CI71" s="5" t="b">
        <v>1</v>
      </c>
      <c r="CJ71" s="5" t="b">
        <v>1</v>
      </c>
      <c r="CK71" s="5" t="b">
        <v>0</v>
      </c>
      <c r="CL71" s="5" t="b">
        <v>0</v>
      </c>
      <c r="CM71" s="5" t="b">
        <v>0</v>
      </c>
    </row>
    <row r="72" spans="1:91" ht="210" x14ac:dyDescent="0.25">
      <c r="A72" s="188">
        <v>45742</v>
      </c>
      <c r="B72" s="5" t="s">
        <v>6</v>
      </c>
      <c r="C72" s="5" t="s">
        <v>5</v>
      </c>
      <c r="D72" s="5" t="s">
        <v>8</v>
      </c>
      <c r="E72" s="5" t="s">
        <v>10</v>
      </c>
      <c r="F72" s="5" t="s">
        <v>35</v>
      </c>
      <c r="G72" s="5" t="s">
        <v>15</v>
      </c>
      <c r="H72" s="5" t="s">
        <v>59</v>
      </c>
      <c r="I72" s="5" t="s">
        <v>37</v>
      </c>
      <c r="J72" s="5" t="s">
        <v>60</v>
      </c>
      <c r="K72" s="5" t="s">
        <v>39</v>
      </c>
      <c r="L72" s="5" t="s">
        <v>85</v>
      </c>
      <c r="M72" s="5" t="s">
        <v>9</v>
      </c>
      <c r="N72" s="5" t="s">
        <v>11</v>
      </c>
      <c r="O72" s="5" t="s">
        <v>14</v>
      </c>
      <c r="P72" s="5" t="s">
        <v>16</v>
      </c>
      <c r="Q72" s="5" t="s">
        <v>18</v>
      </c>
      <c r="R72" s="5" t="s">
        <v>20</v>
      </c>
      <c r="AV72" s="5" t="s">
        <v>352</v>
      </c>
      <c r="AW72" s="5" t="s">
        <v>342</v>
      </c>
      <c r="BV72" s="5" t="b">
        <v>1</v>
      </c>
      <c r="BW72" s="5" t="b">
        <v>1</v>
      </c>
      <c r="BX72" s="5" t="b">
        <v>1</v>
      </c>
      <c r="BY72" s="5" t="b">
        <v>1</v>
      </c>
      <c r="BZ72" s="5" t="b">
        <v>1</v>
      </c>
      <c r="CA72" s="5" t="b">
        <v>1</v>
      </c>
      <c r="CB72" s="5" t="b">
        <v>1</v>
      </c>
      <c r="CC72" s="5" t="b">
        <v>1</v>
      </c>
      <c r="CD72" s="5" t="b">
        <v>1</v>
      </c>
      <c r="CE72" s="5" t="b">
        <v>1</v>
      </c>
      <c r="CF72" s="5" t="b">
        <v>1</v>
      </c>
      <c r="CG72" s="5" t="b">
        <v>1</v>
      </c>
      <c r="CH72" s="5" t="b">
        <v>1</v>
      </c>
      <c r="CI72" s="5" t="b">
        <v>1</v>
      </c>
      <c r="CJ72" s="5" t="b">
        <v>1</v>
      </c>
      <c r="CK72" s="5" t="b">
        <v>0</v>
      </c>
      <c r="CL72" s="5" t="b">
        <v>0</v>
      </c>
      <c r="CM72" s="5" t="b">
        <v>0</v>
      </c>
    </row>
    <row r="73" spans="1:91" ht="210" x14ac:dyDescent="0.25">
      <c r="A73" s="188">
        <v>45743</v>
      </c>
      <c r="B73" s="5" t="s">
        <v>44</v>
      </c>
      <c r="C73" s="5" t="s">
        <v>363</v>
      </c>
      <c r="D73" s="5" t="s">
        <v>8</v>
      </c>
      <c r="E73" s="5" t="s">
        <v>10</v>
      </c>
      <c r="F73" s="5" t="s">
        <v>13</v>
      </c>
      <c r="G73" s="5" t="s">
        <v>15</v>
      </c>
      <c r="H73" s="5" t="s">
        <v>17</v>
      </c>
      <c r="I73" s="5" t="s">
        <v>19</v>
      </c>
      <c r="M73" s="5" t="s">
        <v>9</v>
      </c>
      <c r="N73" s="5" t="s">
        <v>11</v>
      </c>
      <c r="O73" s="5" t="s">
        <v>14</v>
      </c>
      <c r="P73" s="5" t="s">
        <v>16</v>
      </c>
      <c r="Q73" s="5" t="s">
        <v>18</v>
      </c>
      <c r="R73" s="5" t="s">
        <v>20</v>
      </c>
      <c r="V73" s="5" t="s">
        <v>376</v>
      </c>
      <c r="AI73" s="5">
        <v>4453</v>
      </c>
      <c r="AV73" s="5" t="s">
        <v>352</v>
      </c>
      <c r="AW73" s="5" t="s">
        <v>342</v>
      </c>
      <c r="BV73" s="5" t="b">
        <v>1</v>
      </c>
      <c r="BW73" s="5" t="b">
        <v>1</v>
      </c>
      <c r="BX73" s="5" t="b">
        <v>1</v>
      </c>
      <c r="BY73" s="5" t="b">
        <v>1</v>
      </c>
      <c r="BZ73" s="5" t="b">
        <v>0</v>
      </c>
      <c r="CA73" s="5" t="b">
        <v>1</v>
      </c>
      <c r="CB73" s="5" t="b">
        <v>0</v>
      </c>
      <c r="CC73" s="5" t="b">
        <v>0</v>
      </c>
      <c r="CD73" s="5" t="b">
        <v>0</v>
      </c>
      <c r="CE73" s="5" t="b">
        <v>1</v>
      </c>
      <c r="CF73" s="5" t="b">
        <v>1</v>
      </c>
      <c r="CG73" s="5" t="b">
        <v>1</v>
      </c>
      <c r="CH73" s="5" t="b">
        <v>1</v>
      </c>
      <c r="CI73" s="5" t="b">
        <v>1</v>
      </c>
      <c r="CJ73" s="5" t="b">
        <v>1</v>
      </c>
      <c r="CK73" s="5" t="b">
        <v>0</v>
      </c>
      <c r="CL73" s="5" t="b">
        <v>0</v>
      </c>
      <c r="CM73" s="5" t="b">
        <v>0</v>
      </c>
    </row>
    <row r="74" spans="1:91" ht="210" x14ac:dyDescent="0.25">
      <c r="A74" s="188">
        <v>45743</v>
      </c>
      <c r="B74" s="5" t="s">
        <v>56</v>
      </c>
      <c r="C74" s="5" t="s">
        <v>57</v>
      </c>
      <c r="D74" s="5" t="s">
        <v>8</v>
      </c>
      <c r="E74" s="5" t="s">
        <v>10</v>
      </c>
      <c r="F74" s="5" t="s">
        <v>35</v>
      </c>
      <c r="G74" s="5" t="s">
        <v>15</v>
      </c>
      <c r="H74" s="5" t="s">
        <v>93</v>
      </c>
      <c r="M74" s="5" t="s">
        <v>9</v>
      </c>
      <c r="N74" s="5" t="s">
        <v>11</v>
      </c>
      <c r="O74" s="5" t="s">
        <v>14</v>
      </c>
      <c r="P74" s="5" t="s">
        <v>16</v>
      </c>
      <c r="Q74" s="5" t="s">
        <v>18</v>
      </c>
      <c r="R74" s="5" t="s">
        <v>20</v>
      </c>
      <c r="AV74" s="5" t="s">
        <v>352</v>
      </c>
      <c r="AW74" s="5" t="s">
        <v>342</v>
      </c>
      <c r="BV74" s="5" t="b">
        <v>1</v>
      </c>
      <c r="BW74" s="5" t="b">
        <v>1</v>
      </c>
      <c r="BX74" s="5" t="b">
        <v>1</v>
      </c>
      <c r="BY74" s="5" t="b">
        <v>1</v>
      </c>
      <c r="BZ74" s="5" t="b">
        <v>1</v>
      </c>
      <c r="CA74" s="5" t="b">
        <v>0</v>
      </c>
      <c r="CB74" s="5" t="b">
        <v>0</v>
      </c>
      <c r="CC74" s="5" t="b">
        <v>0</v>
      </c>
      <c r="CD74" s="5" t="b">
        <v>0</v>
      </c>
      <c r="CE74" s="5" t="b">
        <v>1</v>
      </c>
      <c r="CF74" s="5" t="b">
        <v>1</v>
      </c>
      <c r="CG74" s="5" t="b">
        <v>1</v>
      </c>
      <c r="CH74" s="5" t="b">
        <v>1</v>
      </c>
      <c r="CI74" s="5" t="b">
        <v>1</v>
      </c>
      <c r="CJ74" s="5" t="b">
        <v>0</v>
      </c>
      <c r="CK74" s="5" t="b">
        <v>0</v>
      </c>
      <c r="CL74" s="5" t="b">
        <v>0</v>
      </c>
      <c r="CM74" s="5" t="b">
        <v>0</v>
      </c>
    </row>
    <row r="75" spans="1:91" ht="409.5" x14ac:dyDescent="0.25">
      <c r="A75" s="188">
        <v>45743</v>
      </c>
      <c r="B75" s="5" t="s">
        <v>6</v>
      </c>
      <c r="C75" s="5" t="s">
        <v>5</v>
      </c>
      <c r="D75" s="5" t="s">
        <v>8</v>
      </c>
      <c r="E75" s="5" t="s">
        <v>10</v>
      </c>
      <c r="F75" s="5" t="s">
        <v>35</v>
      </c>
      <c r="G75" s="5" t="s">
        <v>15</v>
      </c>
      <c r="H75" s="5" t="s">
        <v>59</v>
      </c>
      <c r="I75" s="5" t="s">
        <v>37</v>
      </c>
      <c r="J75" s="5" t="s">
        <v>60</v>
      </c>
      <c r="K75" s="5" t="s">
        <v>39</v>
      </c>
      <c r="L75" s="5" t="s">
        <v>85</v>
      </c>
      <c r="M75" s="5" t="s">
        <v>9</v>
      </c>
      <c r="N75" s="5" t="s">
        <v>11</v>
      </c>
      <c r="O75" s="5" t="s">
        <v>14</v>
      </c>
      <c r="P75" s="5" t="s">
        <v>16</v>
      </c>
      <c r="Q75" s="5" t="s">
        <v>18</v>
      </c>
      <c r="R75" s="5" t="s">
        <v>20</v>
      </c>
      <c r="V75" s="5" t="s">
        <v>379</v>
      </c>
      <c r="W75" s="5" t="s">
        <v>380</v>
      </c>
      <c r="X75" s="5" t="s">
        <v>381</v>
      </c>
      <c r="Y75" s="5" t="s">
        <v>382</v>
      </c>
      <c r="AV75" s="5" t="s">
        <v>352</v>
      </c>
      <c r="AW75" s="5" t="s">
        <v>342</v>
      </c>
      <c r="BV75" s="5" t="b">
        <v>1</v>
      </c>
      <c r="BW75" s="5" t="b">
        <v>1</v>
      </c>
      <c r="BX75" s="5" t="b">
        <v>1</v>
      </c>
      <c r="BY75" s="5" t="b">
        <v>1</v>
      </c>
      <c r="BZ75" s="5" t="b">
        <v>1</v>
      </c>
      <c r="CA75" s="5" t="b">
        <v>1</v>
      </c>
      <c r="CB75" s="5" t="b">
        <v>1</v>
      </c>
      <c r="CC75" s="5" t="b">
        <v>1</v>
      </c>
      <c r="CD75" s="5" t="b">
        <v>1</v>
      </c>
      <c r="CE75" s="5" t="b">
        <v>1</v>
      </c>
      <c r="CF75" s="5" t="b">
        <v>1</v>
      </c>
      <c r="CG75" s="5" t="b">
        <v>1</v>
      </c>
      <c r="CH75" s="5" t="b">
        <v>1</v>
      </c>
      <c r="CI75" s="5" t="b">
        <v>1</v>
      </c>
      <c r="CJ75" s="5" t="b">
        <v>1</v>
      </c>
      <c r="CK75" s="5" t="b">
        <v>0</v>
      </c>
      <c r="CL75" s="5" t="b">
        <v>0</v>
      </c>
      <c r="CM75" s="5" t="b">
        <v>0</v>
      </c>
    </row>
    <row r="76" spans="1:91" ht="210" x14ac:dyDescent="0.25">
      <c r="A76" s="188">
        <v>45744</v>
      </c>
      <c r="B76" s="5" t="s">
        <v>64</v>
      </c>
      <c r="C76" s="5" t="s">
        <v>57</v>
      </c>
      <c r="D76" s="5" t="s">
        <v>8</v>
      </c>
      <c r="E76" s="5" t="s">
        <v>10</v>
      </c>
      <c r="F76" s="5" t="s">
        <v>35</v>
      </c>
      <c r="G76" s="5" t="s">
        <v>15</v>
      </c>
      <c r="H76" s="5" t="s">
        <v>65</v>
      </c>
      <c r="M76" s="5" t="s">
        <v>9</v>
      </c>
      <c r="N76" s="5" t="s">
        <v>11</v>
      </c>
      <c r="O76" s="5" t="s">
        <v>14</v>
      </c>
      <c r="P76" s="5" t="s">
        <v>16</v>
      </c>
      <c r="Q76" s="5" t="s">
        <v>18</v>
      </c>
      <c r="R76" s="5" t="s">
        <v>20</v>
      </c>
      <c r="AV76" s="5" t="s">
        <v>352</v>
      </c>
      <c r="AW76" s="5" t="s">
        <v>342</v>
      </c>
      <c r="BV76" s="5" t="b">
        <v>1</v>
      </c>
      <c r="BW76" s="5" t="b">
        <v>1</v>
      </c>
      <c r="BX76" s="5" t="b">
        <v>1</v>
      </c>
      <c r="BY76" s="5" t="b">
        <v>1</v>
      </c>
      <c r="BZ76" s="5" t="b">
        <v>0</v>
      </c>
      <c r="CA76" s="5" t="b">
        <v>0</v>
      </c>
      <c r="CB76" s="5" t="b">
        <v>0</v>
      </c>
      <c r="CC76" s="5" t="b">
        <v>0</v>
      </c>
      <c r="CD76" s="5" t="b">
        <v>0</v>
      </c>
      <c r="CE76" s="5" t="b">
        <v>1</v>
      </c>
      <c r="CF76" s="5" t="b">
        <v>1</v>
      </c>
      <c r="CG76" s="5" t="b">
        <v>1</v>
      </c>
      <c r="CH76" s="5" t="b">
        <v>1</v>
      </c>
      <c r="CI76" s="5" t="b">
        <v>1</v>
      </c>
      <c r="CJ76" s="5" t="b">
        <v>1</v>
      </c>
      <c r="CK76" s="5" t="b">
        <v>0</v>
      </c>
      <c r="CL76" s="5" t="b">
        <v>0</v>
      </c>
      <c r="CM76" s="5" t="b">
        <v>0</v>
      </c>
    </row>
    <row r="77" spans="1:91" ht="210" x14ac:dyDescent="0.25">
      <c r="A77" s="188">
        <v>45745</v>
      </c>
      <c r="B77" s="5" t="s">
        <v>66</v>
      </c>
      <c r="C77" s="5" t="s">
        <v>5</v>
      </c>
      <c r="D77" s="5" t="s">
        <v>8</v>
      </c>
      <c r="E77" s="5" t="s">
        <v>10</v>
      </c>
      <c r="F77" s="5" t="s">
        <v>35</v>
      </c>
      <c r="G77" s="5" t="s">
        <v>15</v>
      </c>
      <c r="H77" s="5" t="s">
        <v>67</v>
      </c>
      <c r="I77" s="5" t="s">
        <v>37</v>
      </c>
      <c r="J77" s="5" t="s">
        <v>60</v>
      </c>
      <c r="K77" s="5" t="s">
        <v>39</v>
      </c>
      <c r="L77" s="5" t="s">
        <v>85</v>
      </c>
      <c r="M77" s="5" t="s">
        <v>9</v>
      </c>
      <c r="N77" s="5" t="s">
        <v>11</v>
      </c>
      <c r="O77" s="5" t="s">
        <v>14</v>
      </c>
      <c r="P77" s="5" t="s">
        <v>16</v>
      </c>
      <c r="Q77" s="5" t="s">
        <v>18</v>
      </c>
      <c r="R77" s="5" t="s">
        <v>20</v>
      </c>
      <c r="V77" s="5" t="s">
        <v>384</v>
      </c>
      <c r="W77" s="5" t="s">
        <v>385</v>
      </c>
      <c r="AV77" s="5" t="s">
        <v>352</v>
      </c>
      <c r="AW77" s="5" t="s">
        <v>342</v>
      </c>
      <c r="BV77" s="5" t="b">
        <v>1</v>
      </c>
      <c r="BW77" s="5" t="b">
        <v>1</v>
      </c>
      <c r="BX77" s="5" t="b">
        <v>1</v>
      </c>
      <c r="BY77" s="5" t="b">
        <v>1</v>
      </c>
      <c r="BZ77" s="5" t="b">
        <v>0</v>
      </c>
      <c r="CA77" s="5" t="b">
        <v>1</v>
      </c>
      <c r="CB77" s="5" t="b">
        <v>1</v>
      </c>
      <c r="CC77" s="5" t="b">
        <v>1</v>
      </c>
      <c r="CD77" s="5" t="b">
        <v>1</v>
      </c>
      <c r="CE77" s="5" t="b">
        <v>1</v>
      </c>
      <c r="CF77" s="5" t="b">
        <v>1</v>
      </c>
      <c r="CG77" s="5" t="b">
        <v>1</v>
      </c>
      <c r="CH77" s="5" t="b">
        <v>1</v>
      </c>
      <c r="CI77" s="5" t="b">
        <v>1</v>
      </c>
      <c r="CJ77" s="5" t="b">
        <v>1</v>
      </c>
      <c r="CK77" s="5" t="b">
        <v>0</v>
      </c>
      <c r="CL77" s="5" t="b">
        <v>0</v>
      </c>
      <c r="CM77" s="5" t="b">
        <v>0</v>
      </c>
    </row>
    <row r="78" spans="1:91" ht="210" x14ac:dyDescent="0.25">
      <c r="A78" s="188">
        <v>45746</v>
      </c>
      <c r="B78" s="5" t="s">
        <v>44</v>
      </c>
      <c r="C78" s="5" t="s">
        <v>363</v>
      </c>
      <c r="D78" s="5" t="s">
        <v>8</v>
      </c>
      <c r="E78" s="5" t="s">
        <v>10</v>
      </c>
      <c r="F78" s="5" t="s">
        <v>13</v>
      </c>
      <c r="G78" s="5" t="s">
        <v>15</v>
      </c>
      <c r="H78" s="5" t="s">
        <v>17</v>
      </c>
      <c r="I78" s="5" t="s">
        <v>19</v>
      </c>
      <c r="M78" s="5" t="s">
        <v>9</v>
      </c>
      <c r="N78" s="5" t="s">
        <v>11</v>
      </c>
      <c r="O78" s="5" t="s">
        <v>14</v>
      </c>
      <c r="P78" s="5" t="s">
        <v>16</v>
      </c>
      <c r="Q78" s="5" t="s">
        <v>18</v>
      </c>
      <c r="R78" s="5" t="s">
        <v>20</v>
      </c>
      <c r="V78" s="5" t="s">
        <v>387</v>
      </c>
      <c r="W78" s="5" t="s">
        <v>388</v>
      </c>
      <c r="AI78" s="5">
        <v>2327025</v>
      </c>
      <c r="AJ78" s="5">
        <v>2327030</v>
      </c>
      <c r="AV78" s="5" t="s">
        <v>352</v>
      </c>
      <c r="AW78" s="5" t="s">
        <v>342</v>
      </c>
      <c r="AX78" s="5" t="s">
        <v>386</v>
      </c>
      <c r="BV78" s="5" t="b">
        <v>1</v>
      </c>
      <c r="BW78" s="5" t="b">
        <v>1</v>
      </c>
      <c r="BX78" s="5" t="b">
        <v>1</v>
      </c>
      <c r="BY78" s="5" t="b">
        <v>1</v>
      </c>
      <c r="BZ78" s="5" t="b">
        <v>0</v>
      </c>
      <c r="CA78" s="5" t="b">
        <v>1</v>
      </c>
      <c r="CB78" s="5" t="b">
        <v>0</v>
      </c>
      <c r="CC78" s="5" t="b">
        <v>0</v>
      </c>
      <c r="CD78" s="5" t="b">
        <v>0</v>
      </c>
      <c r="CE78" s="5" t="b">
        <v>1</v>
      </c>
      <c r="CF78" s="5" t="b">
        <v>1</v>
      </c>
      <c r="CG78" s="5" t="b">
        <v>1</v>
      </c>
      <c r="CH78" s="5" t="b">
        <v>1</v>
      </c>
      <c r="CI78" s="5" t="b">
        <v>1</v>
      </c>
      <c r="CJ78" s="5" t="b">
        <v>1</v>
      </c>
      <c r="CK78" s="5" t="b">
        <v>0</v>
      </c>
      <c r="CL78" s="5" t="b">
        <v>0</v>
      </c>
      <c r="CM78" s="5" t="b">
        <v>0</v>
      </c>
    </row>
    <row r="79" spans="1:91" ht="210" x14ac:dyDescent="0.25">
      <c r="A79" s="188">
        <v>45746</v>
      </c>
      <c r="B79" s="5" t="s">
        <v>56</v>
      </c>
      <c r="C79" s="5" t="s">
        <v>34</v>
      </c>
      <c r="D79" s="5" t="s">
        <v>8</v>
      </c>
      <c r="E79" s="5" t="s">
        <v>10</v>
      </c>
      <c r="F79" s="5" t="s">
        <v>35</v>
      </c>
      <c r="G79" s="5" t="s">
        <v>15</v>
      </c>
      <c r="H79" s="5" t="s">
        <v>93</v>
      </c>
      <c r="M79" s="5" t="s">
        <v>9</v>
      </c>
      <c r="N79" s="5" t="s">
        <v>11</v>
      </c>
      <c r="O79" s="5" t="s">
        <v>14</v>
      </c>
      <c r="P79" s="5" t="s">
        <v>16</v>
      </c>
      <c r="Q79" s="5" t="s">
        <v>18</v>
      </c>
      <c r="R79" s="5" t="s">
        <v>20</v>
      </c>
      <c r="V79" s="5" t="s">
        <v>389</v>
      </c>
      <c r="AI79" s="5" t="s">
        <v>391</v>
      </c>
      <c r="AV79" s="5" t="s">
        <v>392</v>
      </c>
      <c r="AW79" s="5" t="s">
        <v>342</v>
      </c>
      <c r="AX79" s="5" t="s">
        <v>386</v>
      </c>
      <c r="BV79" s="5" t="b">
        <v>1</v>
      </c>
      <c r="BW79" s="5" t="b">
        <v>1</v>
      </c>
      <c r="BX79" s="5" t="b">
        <v>1</v>
      </c>
      <c r="BY79" s="5" t="b">
        <v>1</v>
      </c>
      <c r="BZ79" s="5" t="b">
        <v>1</v>
      </c>
      <c r="CA79" s="5" t="b">
        <v>0</v>
      </c>
      <c r="CB79" s="5" t="b">
        <v>0</v>
      </c>
      <c r="CC79" s="5" t="b">
        <v>0</v>
      </c>
      <c r="CD79" s="5" t="b">
        <v>0</v>
      </c>
      <c r="CE79" s="5" t="b">
        <v>1</v>
      </c>
      <c r="CF79" s="5" t="b">
        <v>1</v>
      </c>
      <c r="CG79" s="5" t="b">
        <v>1</v>
      </c>
      <c r="CH79" s="5" t="b">
        <v>1</v>
      </c>
      <c r="CI79" s="5" t="b">
        <v>1</v>
      </c>
      <c r="CJ79" s="5" t="b">
        <v>1</v>
      </c>
      <c r="CK79" s="5" t="b">
        <v>0</v>
      </c>
      <c r="CL79" s="5" t="b">
        <v>0</v>
      </c>
      <c r="CM79" s="5" t="b">
        <v>0</v>
      </c>
    </row>
    <row r="80" spans="1:91" ht="210" x14ac:dyDescent="0.25">
      <c r="A80" s="188">
        <v>45746</v>
      </c>
      <c r="B80" s="5" t="s">
        <v>6</v>
      </c>
      <c r="C80" s="5" t="s">
        <v>34</v>
      </c>
      <c r="D80" s="5" t="s">
        <v>8</v>
      </c>
      <c r="E80" s="5" t="s">
        <v>10</v>
      </c>
      <c r="F80" s="5" t="s">
        <v>35</v>
      </c>
      <c r="G80" s="5" t="s">
        <v>15</v>
      </c>
      <c r="H80" s="5" t="s">
        <v>59</v>
      </c>
      <c r="I80" s="5" t="s">
        <v>37</v>
      </c>
      <c r="J80" s="5" t="s">
        <v>60</v>
      </c>
      <c r="K80" s="5" t="s">
        <v>39</v>
      </c>
      <c r="L80" s="5" t="s">
        <v>85</v>
      </c>
      <c r="M80" s="5" t="s">
        <v>9</v>
      </c>
      <c r="N80" s="5" t="s">
        <v>11</v>
      </c>
      <c r="O80" s="5" t="s">
        <v>14</v>
      </c>
      <c r="P80" s="5" t="s">
        <v>16</v>
      </c>
      <c r="Q80" s="5" t="s">
        <v>18</v>
      </c>
      <c r="R80" s="5" t="s">
        <v>20</v>
      </c>
      <c r="V80" s="5" t="s">
        <v>393</v>
      </c>
      <c r="AV80" s="5" t="s">
        <v>392</v>
      </c>
      <c r="AW80" s="5" t="s">
        <v>342</v>
      </c>
      <c r="AX80" s="5" t="s">
        <v>386</v>
      </c>
      <c r="BV80" s="5" t="b">
        <v>1</v>
      </c>
      <c r="BW80" s="5" t="b">
        <v>1</v>
      </c>
      <c r="BX80" s="5" t="b">
        <v>1</v>
      </c>
      <c r="BY80" s="5" t="b">
        <v>1</v>
      </c>
      <c r="BZ80" s="5" t="b">
        <v>1</v>
      </c>
      <c r="CA80" s="5" t="b">
        <v>1</v>
      </c>
      <c r="CB80" s="5" t="b">
        <v>1</v>
      </c>
      <c r="CC80" s="5" t="b">
        <v>1</v>
      </c>
      <c r="CD80" s="5" t="b">
        <v>1</v>
      </c>
      <c r="CE80" s="5" t="b">
        <v>1</v>
      </c>
      <c r="CF80" s="5" t="b">
        <v>1</v>
      </c>
      <c r="CG80" s="5" t="b">
        <v>1</v>
      </c>
      <c r="CH80" s="5" t="b">
        <v>1</v>
      </c>
      <c r="CI80" s="5" t="b">
        <v>1</v>
      </c>
      <c r="CJ80" s="5" t="b">
        <v>1</v>
      </c>
      <c r="CK80" s="5" t="b">
        <v>0</v>
      </c>
      <c r="CL80" s="5" t="b">
        <v>0</v>
      </c>
      <c r="CM80" s="5" t="b">
        <v>0</v>
      </c>
    </row>
    <row r="81" spans="1:91" ht="210" x14ac:dyDescent="0.25">
      <c r="A81" s="188">
        <v>45747</v>
      </c>
      <c r="B81" s="5" t="s">
        <v>44</v>
      </c>
      <c r="C81" s="5" t="s">
        <v>363</v>
      </c>
      <c r="D81" s="5" t="s">
        <v>8</v>
      </c>
      <c r="E81" s="5" t="s">
        <v>10</v>
      </c>
      <c r="F81" s="5" t="s">
        <v>13</v>
      </c>
      <c r="G81" s="5" t="s">
        <v>15</v>
      </c>
      <c r="H81" s="5" t="s">
        <v>17</v>
      </c>
      <c r="I81" s="5" t="s">
        <v>19</v>
      </c>
      <c r="M81" s="5" t="s">
        <v>9</v>
      </c>
      <c r="N81" s="5" t="s">
        <v>11</v>
      </c>
      <c r="O81" s="5" t="s">
        <v>14</v>
      </c>
      <c r="P81" s="5" t="s">
        <v>16</v>
      </c>
      <c r="Q81" s="5" t="s">
        <v>18</v>
      </c>
      <c r="R81" s="5" t="s">
        <v>20</v>
      </c>
      <c r="V81" s="5" t="s">
        <v>394</v>
      </c>
      <c r="AI81" s="5">
        <v>2328211</v>
      </c>
      <c r="AV81" s="5" t="s">
        <v>352</v>
      </c>
      <c r="AW81" s="5" t="s">
        <v>342</v>
      </c>
      <c r="AX81" s="5" t="s">
        <v>386</v>
      </c>
      <c r="BV81" s="5" t="b">
        <v>1</v>
      </c>
      <c r="BW81" s="5" t="b">
        <v>1</v>
      </c>
      <c r="BX81" s="5" t="b">
        <v>1</v>
      </c>
      <c r="BY81" s="5" t="b">
        <v>1</v>
      </c>
      <c r="BZ81" s="5" t="b">
        <v>0</v>
      </c>
      <c r="CA81" s="5" t="b">
        <v>1</v>
      </c>
      <c r="CB81" s="5" t="b">
        <v>0</v>
      </c>
      <c r="CC81" s="5" t="b">
        <v>0</v>
      </c>
      <c r="CD81" s="5" t="b">
        <v>0</v>
      </c>
      <c r="CE81" s="5" t="b">
        <v>1</v>
      </c>
      <c r="CF81" s="5" t="b">
        <v>1</v>
      </c>
      <c r="CG81" s="5" t="b">
        <v>1</v>
      </c>
      <c r="CH81" s="5" t="b">
        <v>1</v>
      </c>
      <c r="CI81" s="5" t="b">
        <v>1</v>
      </c>
      <c r="CJ81" s="5" t="b">
        <v>1</v>
      </c>
      <c r="CK81" s="5" t="b">
        <v>0</v>
      </c>
      <c r="CL81" s="5" t="b">
        <v>0</v>
      </c>
      <c r="CM81" s="5" t="b">
        <v>0</v>
      </c>
    </row>
    <row r="82" spans="1:91" ht="210" x14ac:dyDescent="0.25">
      <c r="A82" s="188">
        <v>45747</v>
      </c>
      <c r="B82" s="5" t="s">
        <v>56</v>
      </c>
      <c r="C82" s="5" t="s">
        <v>34</v>
      </c>
      <c r="D82" s="5" t="s">
        <v>8</v>
      </c>
      <c r="E82" s="5" t="s">
        <v>10</v>
      </c>
      <c r="F82" s="5" t="s">
        <v>35</v>
      </c>
      <c r="G82" s="5" t="s">
        <v>15</v>
      </c>
      <c r="H82" s="5" t="s">
        <v>93</v>
      </c>
      <c r="M82" s="5" t="s">
        <v>9</v>
      </c>
      <c r="N82" s="5" t="s">
        <v>11</v>
      </c>
      <c r="O82" s="5" t="s">
        <v>14</v>
      </c>
      <c r="P82" s="5" t="s">
        <v>16</v>
      </c>
      <c r="Q82" s="5" t="s">
        <v>18</v>
      </c>
      <c r="R82" s="5" t="s">
        <v>20</v>
      </c>
      <c r="V82" s="5" t="s">
        <v>395</v>
      </c>
      <c r="W82" s="5" t="s">
        <v>396</v>
      </c>
      <c r="AV82" s="5" t="s">
        <v>352</v>
      </c>
      <c r="AW82" s="5" t="s">
        <v>342</v>
      </c>
      <c r="AX82" s="5" t="s">
        <v>386</v>
      </c>
      <c r="BV82" s="5" t="b">
        <v>1</v>
      </c>
      <c r="BW82" s="5" t="b">
        <v>1</v>
      </c>
      <c r="BX82" s="5" t="b">
        <v>1</v>
      </c>
      <c r="BY82" s="5" t="b">
        <v>1</v>
      </c>
      <c r="BZ82" s="5" t="b">
        <v>0</v>
      </c>
      <c r="CA82" s="5" t="b">
        <v>0</v>
      </c>
      <c r="CB82" s="5" t="b">
        <v>0</v>
      </c>
      <c r="CC82" s="5" t="b">
        <v>0</v>
      </c>
      <c r="CD82" s="5" t="b">
        <v>0</v>
      </c>
      <c r="CE82" s="5" t="b">
        <v>1</v>
      </c>
      <c r="CF82" s="5" t="b">
        <v>1</v>
      </c>
      <c r="CG82" s="5" t="b">
        <v>1</v>
      </c>
      <c r="CH82" s="5" t="b">
        <v>1</v>
      </c>
      <c r="CI82" s="5" t="b">
        <v>1</v>
      </c>
      <c r="CJ82" s="5" t="b">
        <v>1</v>
      </c>
      <c r="CK82" s="5" t="b">
        <v>0</v>
      </c>
      <c r="CL82" s="5" t="b">
        <v>0</v>
      </c>
      <c r="CM82" s="5"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040A6-8720-40AF-A7E0-DBB258725FF8}">
  <sheetPr codeName="Sheet5">
    <tabColor rgb="FF7030A0"/>
  </sheetPr>
  <dimension ref="A1:N38"/>
  <sheetViews>
    <sheetView rightToLeft="1" zoomScale="75" zoomScaleNormal="75" workbookViewId="0">
      <selection activeCell="G7" sqref="G7"/>
    </sheetView>
  </sheetViews>
  <sheetFormatPr defaultColWidth="30.7109375" defaultRowHeight="60" customHeight="1" x14ac:dyDescent="0.25"/>
  <cols>
    <col min="1" max="1" width="7.140625" style="21" customWidth="1"/>
    <col min="2" max="2" width="16.7109375" style="21" customWidth="1"/>
    <col min="3" max="3" width="30.7109375" style="21"/>
    <col min="4" max="4" width="22.5703125" style="21" customWidth="1"/>
    <col min="5" max="5" width="30.7109375" style="21"/>
    <col min="6" max="6" width="35.140625" style="21" customWidth="1"/>
    <col min="7" max="7" width="45.85546875" style="21" customWidth="1"/>
    <col min="8" max="16384" width="30.7109375" style="21"/>
  </cols>
  <sheetData>
    <row r="1" spans="1:14" ht="24.75" customHeight="1" thickBot="1" x14ac:dyDescent="0.3"/>
    <row r="2" spans="1:14" ht="60" customHeight="1" x14ac:dyDescent="0.25">
      <c r="B2" s="229" t="s">
        <v>108</v>
      </c>
      <c r="C2" s="230"/>
      <c r="D2" s="230"/>
      <c r="E2" s="230"/>
      <c r="F2" s="230"/>
      <c r="G2" s="231"/>
      <c r="I2" s="237"/>
      <c r="J2" s="237"/>
      <c r="K2" s="237"/>
      <c r="L2" s="237"/>
      <c r="M2" s="237"/>
      <c r="N2" s="237"/>
    </row>
    <row r="3" spans="1:14" ht="28.5" customHeight="1" x14ac:dyDescent="0.25">
      <c r="B3" s="113" t="s">
        <v>109</v>
      </c>
      <c r="C3" s="114" t="s">
        <v>110</v>
      </c>
      <c r="D3" s="114" t="s">
        <v>111</v>
      </c>
      <c r="E3" s="114" t="s">
        <v>112</v>
      </c>
      <c r="F3" s="114" t="s">
        <v>113</v>
      </c>
      <c r="G3" s="115" t="s">
        <v>114</v>
      </c>
      <c r="I3" s="105"/>
      <c r="J3" s="105"/>
      <c r="K3" s="105"/>
      <c r="L3" s="105"/>
      <c r="M3" s="105"/>
      <c r="N3" s="106"/>
    </row>
    <row r="4" spans="1:14" ht="30.75" customHeight="1" x14ac:dyDescent="0.25">
      <c r="B4" s="144">
        <v>45730</v>
      </c>
      <c r="C4" s="142"/>
      <c r="D4" s="142" t="s">
        <v>327</v>
      </c>
      <c r="E4" s="142"/>
      <c r="F4" s="114"/>
      <c r="G4" s="143" t="s">
        <v>328</v>
      </c>
      <c r="I4" s="105"/>
      <c r="J4" s="105"/>
      <c r="K4" s="105"/>
      <c r="L4" s="105"/>
      <c r="M4" s="105"/>
      <c r="N4" s="106"/>
    </row>
    <row r="5" spans="1:14" ht="30.75" customHeight="1" x14ac:dyDescent="0.25">
      <c r="B5" s="144">
        <v>45729</v>
      </c>
      <c r="C5" s="142"/>
      <c r="D5" s="142" t="s">
        <v>115</v>
      </c>
      <c r="E5" s="142"/>
      <c r="F5" s="114"/>
      <c r="G5" s="143" t="s">
        <v>116</v>
      </c>
      <c r="I5" s="105"/>
      <c r="J5" s="105"/>
      <c r="K5" s="105"/>
      <c r="L5" s="105"/>
      <c r="M5" s="105"/>
      <c r="N5" s="106"/>
    </row>
    <row r="6" spans="1:14" ht="30.75" customHeight="1" x14ac:dyDescent="0.25">
      <c r="B6" s="144">
        <v>45728</v>
      </c>
      <c r="C6" s="142"/>
      <c r="D6" s="142" t="s">
        <v>115</v>
      </c>
      <c r="E6" s="142"/>
      <c r="F6" s="114"/>
      <c r="G6" s="143" t="s">
        <v>116</v>
      </c>
      <c r="I6" s="105"/>
      <c r="J6" s="105"/>
      <c r="K6" s="105"/>
      <c r="L6" s="105"/>
      <c r="M6" s="105"/>
      <c r="N6" s="106"/>
    </row>
    <row r="7" spans="1:14" ht="30.75" customHeight="1" x14ac:dyDescent="0.25">
      <c r="B7" s="144">
        <v>45727</v>
      </c>
      <c r="C7" s="142"/>
      <c r="D7" s="142" t="s">
        <v>115</v>
      </c>
      <c r="E7" s="142"/>
      <c r="F7" s="114"/>
      <c r="G7" s="143" t="s">
        <v>116</v>
      </c>
      <c r="I7" s="105"/>
      <c r="J7" s="105"/>
      <c r="K7" s="105"/>
      <c r="L7" s="105"/>
      <c r="M7" s="105"/>
      <c r="N7" s="106"/>
    </row>
    <row r="8" spans="1:14" ht="30.75" customHeight="1" x14ac:dyDescent="0.25">
      <c r="B8" s="144">
        <v>45726</v>
      </c>
      <c r="C8" s="142"/>
      <c r="D8" s="142" t="s">
        <v>115</v>
      </c>
      <c r="E8" s="142"/>
      <c r="F8" s="114"/>
      <c r="G8" s="143" t="s">
        <v>117</v>
      </c>
      <c r="I8" s="105"/>
      <c r="J8" s="105"/>
      <c r="K8" s="105"/>
      <c r="L8" s="105"/>
      <c r="M8" s="105"/>
      <c r="N8" s="106"/>
    </row>
    <row r="9" spans="1:14" ht="30.75" customHeight="1" x14ac:dyDescent="0.25">
      <c r="B9" s="144">
        <v>45725</v>
      </c>
      <c r="C9" s="142"/>
      <c r="D9" s="142" t="s">
        <v>115</v>
      </c>
      <c r="E9" s="142"/>
      <c r="F9" s="114"/>
      <c r="G9" s="143" t="s">
        <v>117</v>
      </c>
      <c r="I9" s="105"/>
      <c r="J9" s="105"/>
      <c r="K9" s="105"/>
      <c r="L9" s="105"/>
      <c r="M9" s="105"/>
      <c r="N9" s="106"/>
    </row>
    <row r="10" spans="1:14" ht="30.75" customHeight="1" x14ac:dyDescent="0.25">
      <c r="B10" s="144">
        <v>45723</v>
      </c>
      <c r="C10" s="142"/>
      <c r="D10" s="142" t="s">
        <v>115</v>
      </c>
      <c r="E10" s="142"/>
      <c r="F10" s="114"/>
      <c r="G10" s="143" t="s">
        <v>117</v>
      </c>
      <c r="I10" s="105"/>
      <c r="J10" s="105"/>
      <c r="K10" s="105"/>
      <c r="L10" s="105"/>
      <c r="M10" s="105"/>
      <c r="N10" s="106"/>
    </row>
    <row r="11" spans="1:14" ht="30.75" customHeight="1" x14ac:dyDescent="0.25">
      <c r="B11" s="144">
        <v>45715</v>
      </c>
      <c r="C11" s="142"/>
      <c r="D11" s="142" t="s">
        <v>115</v>
      </c>
      <c r="E11" s="142"/>
      <c r="F11" s="114"/>
      <c r="G11" s="143" t="s">
        <v>117</v>
      </c>
      <c r="I11" s="105"/>
      <c r="J11" s="105"/>
      <c r="K11" s="105"/>
      <c r="L11" s="105"/>
      <c r="M11" s="105"/>
      <c r="N11" s="106"/>
    </row>
    <row r="12" spans="1:14" ht="30.75" customHeight="1" x14ac:dyDescent="0.25">
      <c r="B12" s="144">
        <v>45714</v>
      </c>
      <c r="C12" s="142"/>
      <c r="D12" s="142" t="s">
        <v>115</v>
      </c>
      <c r="E12" s="142"/>
      <c r="F12" s="114"/>
      <c r="G12" s="143" t="s">
        <v>117</v>
      </c>
      <c r="I12" s="105"/>
      <c r="J12" s="105"/>
      <c r="K12" s="105"/>
      <c r="L12" s="105"/>
      <c r="M12" s="105"/>
      <c r="N12" s="106"/>
    </row>
    <row r="13" spans="1:14" ht="60" customHeight="1" x14ac:dyDescent="0.25">
      <c r="B13" s="129">
        <v>45713</v>
      </c>
      <c r="C13" s="130"/>
      <c r="D13" s="130"/>
      <c r="E13" s="130"/>
      <c r="F13" s="97"/>
      <c r="G13" s="131" t="s">
        <v>117</v>
      </c>
      <c r="I13" s="107"/>
      <c r="J13" s="108"/>
      <c r="K13" s="109"/>
      <c r="L13" s="108"/>
      <c r="M13" s="109"/>
      <c r="N13" s="109"/>
    </row>
    <row r="14" spans="1:14" ht="60" customHeight="1" x14ac:dyDescent="0.25">
      <c r="A14" s="104"/>
      <c r="B14" s="133">
        <v>45712</v>
      </c>
      <c r="C14" s="98"/>
      <c r="D14" s="98"/>
      <c r="E14" s="132"/>
      <c r="F14" s="96"/>
      <c r="G14" s="100" t="s">
        <v>117</v>
      </c>
      <c r="I14" s="107"/>
      <c r="J14" s="109"/>
      <c r="K14" s="109"/>
      <c r="L14" s="108"/>
      <c r="M14" s="110"/>
      <c r="N14" s="109"/>
    </row>
    <row r="15" spans="1:14" ht="60" customHeight="1" x14ac:dyDescent="0.25">
      <c r="B15" s="117">
        <v>45712</v>
      </c>
      <c r="C15" s="118"/>
      <c r="D15" s="118"/>
      <c r="E15" s="118"/>
      <c r="F15" s="96"/>
      <c r="G15" s="99" t="s">
        <v>117</v>
      </c>
      <c r="I15" s="107"/>
      <c r="J15" s="109"/>
      <c r="K15" s="109"/>
      <c r="L15" s="108"/>
      <c r="M15" s="110"/>
      <c r="N15" s="109"/>
    </row>
    <row r="16" spans="1:14" ht="60" customHeight="1" x14ac:dyDescent="0.25">
      <c r="B16" s="116">
        <v>45698</v>
      </c>
      <c r="C16" s="98"/>
      <c r="D16" s="98" t="s">
        <v>118</v>
      </c>
      <c r="E16" s="98"/>
      <c r="F16" s="97" t="s">
        <v>119</v>
      </c>
      <c r="G16" s="100" t="s">
        <v>120</v>
      </c>
      <c r="I16" s="107"/>
      <c r="J16" s="108"/>
      <c r="K16" s="109"/>
      <c r="L16" s="108"/>
      <c r="M16" s="110"/>
      <c r="N16" s="110"/>
    </row>
    <row r="17" spans="1:14" ht="60" customHeight="1" x14ac:dyDescent="0.25">
      <c r="B17" s="116">
        <v>45697</v>
      </c>
      <c r="C17" s="98"/>
      <c r="D17" s="98"/>
      <c r="E17" s="98"/>
      <c r="F17" s="97"/>
      <c r="G17" s="100" t="s">
        <v>121</v>
      </c>
      <c r="I17" s="107"/>
      <c r="J17" s="108"/>
      <c r="K17" s="109"/>
      <c r="L17" s="108"/>
      <c r="M17" s="110"/>
      <c r="N17" s="110"/>
    </row>
    <row r="18" spans="1:14" ht="60" customHeight="1" x14ac:dyDescent="0.25">
      <c r="B18" s="116">
        <v>45694</v>
      </c>
      <c r="C18" s="98"/>
      <c r="D18" s="98"/>
      <c r="E18" s="98"/>
      <c r="F18" s="97"/>
      <c r="G18" s="100" t="s">
        <v>121</v>
      </c>
      <c r="I18" s="107"/>
      <c r="J18" s="109"/>
      <c r="K18" s="109"/>
      <c r="L18" s="109"/>
      <c r="M18" s="109"/>
      <c r="N18" s="109"/>
    </row>
    <row r="19" spans="1:14" ht="60" customHeight="1" x14ac:dyDescent="0.25">
      <c r="B19" s="232">
        <v>45693</v>
      </c>
      <c r="C19" s="234"/>
      <c r="D19" s="96" t="s">
        <v>115</v>
      </c>
      <c r="E19" s="234"/>
      <c r="F19" s="235" t="s">
        <v>122</v>
      </c>
      <c r="G19" s="236" t="s">
        <v>116</v>
      </c>
      <c r="I19" s="107"/>
      <c r="J19" s="109"/>
      <c r="K19" s="109"/>
      <c r="L19" s="109"/>
      <c r="M19" s="109"/>
      <c r="N19" s="109"/>
    </row>
    <row r="20" spans="1:14" ht="60" customHeight="1" x14ac:dyDescent="0.25">
      <c r="B20" s="233"/>
      <c r="C20" s="226"/>
      <c r="D20" s="97" t="s">
        <v>123</v>
      </c>
      <c r="E20" s="226"/>
      <c r="F20" s="227"/>
      <c r="G20" s="228"/>
      <c r="I20" s="107"/>
      <c r="J20" s="108"/>
      <c r="K20" s="110"/>
      <c r="L20" s="109"/>
      <c r="M20" s="109"/>
      <c r="N20" s="109"/>
    </row>
    <row r="21" spans="1:14" ht="60" customHeight="1" x14ac:dyDescent="0.25">
      <c r="B21" s="225">
        <v>45692</v>
      </c>
      <c r="C21" s="226"/>
      <c r="D21" s="97" t="s">
        <v>115</v>
      </c>
      <c r="E21" s="226"/>
      <c r="F21" s="227" t="s">
        <v>122</v>
      </c>
      <c r="G21" s="228" t="s">
        <v>124</v>
      </c>
      <c r="I21" s="107"/>
      <c r="J21" s="108"/>
      <c r="K21" s="110"/>
      <c r="L21" s="109"/>
      <c r="M21" s="109"/>
      <c r="N21" s="109"/>
    </row>
    <row r="22" spans="1:14" ht="60" customHeight="1" x14ac:dyDescent="0.25">
      <c r="B22" s="225"/>
      <c r="C22" s="226"/>
      <c r="D22" s="97" t="s">
        <v>123</v>
      </c>
      <c r="E22" s="226"/>
      <c r="F22" s="227"/>
      <c r="G22" s="228"/>
      <c r="I22" s="107"/>
      <c r="J22" s="109"/>
      <c r="K22" s="109"/>
      <c r="L22" s="109"/>
      <c r="M22" s="109"/>
      <c r="N22" s="109"/>
    </row>
    <row r="23" spans="1:14" ht="60" customHeight="1" x14ac:dyDescent="0.25">
      <c r="B23" s="119">
        <v>45674</v>
      </c>
      <c r="C23" s="120"/>
      <c r="D23" s="120"/>
      <c r="E23" s="120"/>
      <c r="F23" s="121"/>
      <c r="G23" s="122" t="s">
        <v>117</v>
      </c>
      <c r="I23" s="107"/>
      <c r="J23" s="109"/>
      <c r="K23" s="109"/>
      <c r="L23" s="108"/>
      <c r="M23" s="110"/>
      <c r="N23" s="109"/>
    </row>
    <row r="24" spans="1:14" ht="60" customHeight="1" x14ac:dyDescent="0.25">
      <c r="B24" s="123">
        <v>45673</v>
      </c>
      <c r="C24" s="124"/>
      <c r="D24" s="124"/>
      <c r="E24" s="124"/>
      <c r="F24" s="125"/>
      <c r="G24" s="126" t="s">
        <v>117</v>
      </c>
      <c r="I24" s="107"/>
      <c r="J24" s="108"/>
      <c r="K24" s="108"/>
      <c r="L24" s="108"/>
      <c r="M24" s="109"/>
      <c r="N24" s="109"/>
    </row>
    <row r="25" spans="1:14" ht="60" customHeight="1" x14ac:dyDescent="0.25">
      <c r="B25" s="123">
        <v>45672</v>
      </c>
      <c r="C25" s="125" t="s">
        <v>125</v>
      </c>
      <c r="D25" s="125" t="s">
        <v>126</v>
      </c>
      <c r="E25" s="124"/>
      <c r="F25" s="125" t="s">
        <v>127</v>
      </c>
      <c r="G25" s="126" t="s">
        <v>128</v>
      </c>
      <c r="I25" s="107"/>
      <c r="J25" s="109"/>
      <c r="K25" s="109"/>
      <c r="L25" s="108"/>
      <c r="M25" s="109"/>
      <c r="N25" s="109"/>
    </row>
    <row r="26" spans="1:14" ht="60" customHeight="1" x14ac:dyDescent="0.25">
      <c r="B26" s="123" t="s">
        <v>129</v>
      </c>
      <c r="C26" s="124"/>
      <c r="D26" s="124"/>
      <c r="E26" s="124"/>
      <c r="F26" s="125"/>
      <c r="G26" s="126" t="s">
        <v>117</v>
      </c>
      <c r="I26" s="107"/>
      <c r="J26" s="108"/>
      <c r="K26" s="108"/>
      <c r="L26" s="108"/>
      <c r="M26" s="109"/>
      <c r="N26" s="109"/>
    </row>
    <row r="27" spans="1:14" ht="60" customHeight="1" x14ac:dyDescent="0.25">
      <c r="B27" s="123">
        <v>45662</v>
      </c>
      <c r="C27" s="125" t="s">
        <v>130</v>
      </c>
      <c r="D27" s="125" t="s">
        <v>131</v>
      </c>
      <c r="E27" s="124"/>
      <c r="F27" s="127" t="s">
        <v>132</v>
      </c>
      <c r="G27" s="126" t="s">
        <v>133</v>
      </c>
      <c r="I27" s="107"/>
      <c r="J27" s="108"/>
      <c r="K27" s="108"/>
      <c r="L27" s="108"/>
      <c r="M27" s="109"/>
      <c r="N27" s="109"/>
    </row>
    <row r="28" spans="1:14" ht="60" customHeight="1" x14ac:dyDescent="0.25">
      <c r="A28" s="104"/>
      <c r="B28" s="123">
        <v>45662</v>
      </c>
      <c r="C28" s="125" t="s">
        <v>134</v>
      </c>
      <c r="D28" s="125" t="s">
        <v>135</v>
      </c>
      <c r="E28" s="125"/>
      <c r="F28" s="125" t="s">
        <v>136</v>
      </c>
      <c r="G28" s="126" t="s">
        <v>133</v>
      </c>
      <c r="I28" s="238"/>
      <c r="J28" s="239"/>
      <c r="K28" s="103"/>
      <c r="L28" s="239"/>
      <c r="M28" s="240"/>
      <c r="N28" s="240"/>
    </row>
    <row r="29" spans="1:14" ht="60" customHeight="1" x14ac:dyDescent="0.25">
      <c r="A29" s="104"/>
      <c r="B29" s="123">
        <v>45662</v>
      </c>
      <c r="C29" s="125" t="s">
        <v>134</v>
      </c>
      <c r="D29" s="125" t="s">
        <v>135</v>
      </c>
      <c r="E29" s="125"/>
      <c r="F29" s="125" t="s">
        <v>136</v>
      </c>
      <c r="G29" s="126" t="s">
        <v>133</v>
      </c>
      <c r="I29" s="238"/>
      <c r="J29" s="239"/>
      <c r="K29" s="103"/>
      <c r="L29" s="239"/>
      <c r="M29" s="240"/>
      <c r="N29" s="240"/>
    </row>
    <row r="30" spans="1:14" ht="60" customHeight="1" x14ac:dyDescent="0.25">
      <c r="B30" s="123">
        <v>45658</v>
      </c>
      <c r="C30" s="124"/>
      <c r="D30" s="127" t="s">
        <v>137</v>
      </c>
      <c r="E30" s="125"/>
      <c r="F30" s="125" t="s">
        <v>138</v>
      </c>
      <c r="G30" s="126" t="s">
        <v>139</v>
      </c>
      <c r="I30" s="238"/>
      <c r="J30" s="239"/>
      <c r="K30" s="103"/>
      <c r="L30" s="239"/>
      <c r="M30" s="240"/>
      <c r="N30" s="241"/>
    </row>
    <row r="31" spans="1:14" ht="60" customHeight="1" x14ac:dyDescent="0.25">
      <c r="B31" s="123">
        <v>45658</v>
      </c>
      <c r="C31" s="124"/>
      <c r="D31" s="127" t="s">
        <v>137</v>
      </c>
      <c r="E31" s="125"/>
      <c r="F31" s="125" t="s">
        <v>138</v>
      </c>
      <c r="G31" s="126" t="s">
        <v>139</v>
      </c>
      <c r="I31" s="238"/>
      <c r="J31" s="239"/>
      <c r="K31" s="103"/>
      <c r="L31" s="239"/>
      <c r="M31" s="240"/>
      <c r="N31" s="241"/>
    </row>
    <row r="32" spans="1:14" ht="60" customHeight="1" x14ac:dyDescent="0.25">
      <c r="B32" s="123" t="s">
        <v>140</v>
      </c>
      <c r="C32" s="124"/>
      <c r="D32" s="127"/>
      <c r="E32" s="125"/>
      <c r="F32" s="125"/>
      <c r="G32" s="126" t="s">
        <v>117</v>
      </c>
      <c r="I32" s="101"/>
      <c r="J32" s="102"/>
      <c r="K32" s="102"/>
      <c r="L32" s="102"/>
      <c r="M32" s="103"/>
      <c r="N32" s="111"/>
    </row>
    <row r="33" spans="2:14" ht="60" customHeight="1" x14ac:dyDescent="0.25">
      <c r="B33" s="123">
        <v>45636</v>
      </c>
      <c r="C33" s="125" t="s">
        <v>141</v>
      </c>
      <c r="D33" s="125" t="s">
        <v>135</v>
      </c>
      <c r="E33" s="125"/>
      <c r="F33" s="125" t="s">
        <v>136</v>
      </c>
      <c r="G33" s="126" t="s">
        <v>133</v>
      </c>
      <c r="I33" s="101"/>
      <c r="J33" s="102"/>
      <c r="K33" s="102"/>
      <c r="L33" s="102"/>
      <c r="M33" s="103"/>
      <c r="N33" s="111"/>
    </row>
    <row r="34" spans="2:14" ht="60" customHeight="1" x14ac:dyDescent="0.25">
      <c r="B34" s="123">
        <v>45635</v>
      </c>
      <c r="C34" s="124"/>
      <c r="D34" s="125"/>
      <c r="E34" s="124"/>
      <c r="F34" s="127"/>
      <c r="G34" s="128" t="s">
        <v>117</v>
      </c>
      <c r="I34" s="101"/>
      <c r="J34" s="102"/>
      <c r="K34" s="112"/>
      <c r="L34" s="102"/>
      <c r="M34" s="111"/>
      <c r="N34" s="111"/>
    </row>
    <row r="35" spans="2:14" ht="60" customHeight="1" x14ac:dyDescent="0.25">
      <c r="B35" s="123">
        <v>45632</v>
      </c>
      <c r="C35" s="124"/>
      <c r="D35" s="125"/>
      <c r="E35" s="124"/>
      <c r="F35" s="127"/>
      <c r="G35" s="128" t="s">
        <v>117</v>
      </c>
      <c r="I35" s="102"/>
      <c r="J35" s="102"/>
      <c r="K35" s="102"/>
      <c r="L35" s="102"/>
      <c r="M35" s="103"/>
      <c r="N35" s="111"/>
    </row>
    <row r="36" spans="2:14" ht="60" customHeight="1" x14ac:dyDescent="0.25">
      <c r="B36" s="123">
        <v>45631</v>
      </c>
      <c r="C36" s="125" t="s">
        <v>142</v>
      </c>
      <c r="D36" s="125" t="s">
        <v>131</v>
      </c>
      <c r="E36" s="124"/>
      <c r="F36" s="127" t="s">
        <v>132</v>
      </c>
      <c r="G36" s="126" t="s">
        <v>133</v>
      </c>
      <c r="I36" s="102"/>
      <c r="J36" s="102"/>
      <c r="K36" s="102"/>
      <c r="L36" s="102"/>
      <c r="M36" s="103"/>
      <c r="N36" s="111"/>
    </row>
    <row r="37" spans="2:14" ht="60" customHeight="1" x14ac:dyDescent="0.25">
      <c r="B37" s="123">
        <v>45630</v>
      </c>
      <c r="C37" s="125" t="s">
        <v>143</v>
      </c>
      <c r="D37" s="125" t="s">
        <v>131</v>
      </c>
      <c r="E37" s="124"/>
      <c r="F37" s="127" t="s">
        <v>132</v>
      </c>
      <c r="G37" s="126" t="s">
        <v>133</v>
      </c>
      <c r="I37" s="102"/>
      <c r="J37" s="102"/>
      <c r="K37" s="102"/>
      <c r="L37" s="102"/>
      <c r="M37" s="103"/>
      <c r="N37" s="111"/>
    </row>
    <row r="38" spans="2:14" ht="60" customHeight="1" x14ac:dyDescent="0.25">
      <c r="B38" s="123">
        <v>45628</v>
      </c>
      <c r="C38" s="124"/>
      <c r="D38" s="125"/>
      <c r="E38" s="124"/>
      <c r="F38" s="125"/>
      <c r="G38" s="126" t="s">
        <v>117</v>
      </c>
    </row>
  </sheetData>
  <autoFilter ref="B3:G3" xr:uid="{EC9040A6-8720-40AF-A7E0-DBB258725FF8}"/>
  <mergeCells count="22">
    <mergeCell ref="I30:I31"/>
    <mergeCell ref="J30:J31"/>
    <mergeCell ref="L30:L31"/>
    <mergeCell ref="M30:M31"/>
    <mergeCell ref="N30:N31"/>
    <mergeCell ref="I2:N2"/>
    <mergeCell ref="I28:I29"/>
    <mergeCell ref="J28:J29"/>
    <mergeCell ref="L28:L29"/>
    <mergeCell ref="M28:M29"/>
    <mergeCell ref="N28:N29"/>
    <mergeCell ref="B2:G2"/>
    <mergeCell ref="B19:B20"/>
    <mergeCell ref="C19:C20"/>
    <mergeCell ref="E19:E20"/>
    <mergeCell ref="F19:F20"/>
    <mergeCell ref="G19:G20"/>
    <mergeCell ref="B21:B22"/>
    <mergeCell ref="C21:C22"/>
    <mergeCell ref="E21:E22"/>
    <mergeCell ref="F21:F22"/>
    <mergeCell ref="G21:G2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AC9F-B022-47BE-9DDC-C62F4127B97F}">
  <sheetPr codeName="Sheet4">
    <tabColor rgb="FF92D050"/>
  </sheetPr>
  <dimension ref="B1:O68"/>
  <sheetViews>
    <sheetView rightToLeft="1" workbookViewId="0"/>
  </sheetViews>
  <sheetFormatPr defaultColWidth="20.7109375" defaultRowHeight="15" x14ac:dyDescent="0.25"/>
  <cols>
    <col min="1" max="1" width="6" style="32" customWidth="1"/>
    <col min="2" max="2" width="16.28515625" style="32" customWidth="1"/>
    <col min="3" max="3" width="52" style="32" customWidth="1"/>
    <col min="4" max="4" width="77.42578125" style="32" customWidth="1"/>
    <col min="5" max="5" width="15.85546875" style="32" customWidth="1"/>
    <col min="6" max="16384" width="20.7109375" style="32"/>
  </cols>
  <sheetData>
    <row r="1" spans="2:12" ht="15.75" thickBot="1" x14ac:dyDescent="0.3"/>
    <row r="2" spans="2:12" ht="36.75" customHeight="1" thickBot="1" x14ac:dyDescent="0.3">
      <c r="B2" s="183" t="s">
        <v>109</v>
      </c>
      <c r="C2" s="184" t="s">
        <v>144</v>
      </c>
      <c r="D2" s="185" t="s">
        <v>145</v>
      </c>
      <c r="H2" s="33"/>
      <c r="I2" s="33"/>
      <c r="J2" s="34"/>
      <c r="K2" s="35"/>
      <c r="L2" s="33"/>
    </row>
    <row r="3" spans="2:12" ht="36.75" customHeight="1" x14ac:dyDescent="0.25">
      <c r="B3" s="182">
        <v>45746</v>
      </c>
      <c r="C3" s="182" t="s">
        <v>389</v>
      </c>
      <c r="D3" s="182" t="s">
        <v>390</v>
      </c>
      <c r="H3" s="33"/>
      <c r="I3" s="33"/>
      <c r="J3" s="34"/>
      <c r="K3" s="35"/>
      <c r="L3" s="33"/>
    </row>
    <row r="4" spans="2:12" ht="36.75" customHeight="1" x14ac:dyDescent="0.25">
      <c r="B4" s="182">
        <v>45744</v>
      </c>
      <c r="C4" s="182" t="s">
        <v>381</v>
      </c>
      <c r="D4" s="182" t="s">
        <v>383</v>
      </c>
      <c r="H4" s="33"/>
      <c r="I4" s="33"/>
      <c r="J4" s="34"/>
      <c r="K4" s="35"/>
      <c r="L4" s="33"/>
    </row>
    <row r="5" spans="2:12" ht="36.75" customHeight="1" x14ac:dyDescent="0.25">
      <c r="B5" s="182">
        <v>45742</v>
      </c>
      <c r="C5" s="182" t="s">
        <v>373</v>
      </c>
      <c r="D5" s="182" t="s">
        <v>372</v>
      </c>
      <c r="H5" s="33"/>
      <c r="I5" s="33"/>
      <c r="J5" s="34"/>
      <c r="K5" s="35"/>
      <c r="L5" s="33"/>
    </row>
    <row r="6" spans="2:12" ht="75" x14ac:dyDescent="0.25">
      <c r="B6" s="182">
        <v>45735</v>
      </c>
      <c r="C6" s="182" t="s">
        <v>347</v>
      </c>
      <c r="D6" s="182" t="s">
        <v>348</v>
      </c>
      <c r="H6" s="33"/>
      <c r="I6" s="33"/>
      <c r="J6" s="34"/>
      <c r="K6" s="35"/>
      <c r="L6" s="33"/>
    </row>
    <row r="7" spans="2:12" ht="36.75" customHeight="1" x14ac:dyDescent="0.25">
      <c r="B7" s="182">
        <v>45734</v>
      </c>
      <c r="C7" s="182" t="s">
        <v>339</v>
      </c>
      <c r="D7" s="182" t="s">
        <v>340</v>
      </c>
      <c r="H7" s="33"/>
      <c r="I7" s="33"/>
      <c r="J7" s="34"/>
      <c r="K7" s="35"/>
      <c r="L7" s="33"/>
    </row>
    <row r="8" spans="2:12" ht="36.75" customHeight="1" x14ac:dyDescent="0.25">
      <c r="B8" s="182">
        <v>45733</v>
      </c>
      <c r="C8" s="182" t="s">
        <v>335</v>
      </c>
      <c r="D8" s="182"/>
      <c r="H8" s="33"/>
      <c r="I8" s="33"/>
      <c r="J8" s="34"/>
      <c r="K8" s="35"/>
      <c r="L8" s="33"/>
    </row>
    <row r="9" spans="2:12" ht="36.75" customHeight="1" x14ac:dyDescent="0.25">
      <c r="B9" s="182">
        <v>45733</v>
      </c>
      <c r="C9" s="182" t="s">
        <v>333</v>
      </c>
      <c r="D9" s="182" t="s">
        <v>334</v>
      </c>
      <c r="H9" s="33"/>
      <c r="I9" s="33"/>
      <c r="J9" s="34"/>
      <c r="K9" s="35"/>
      <c r="L9" s="33"/>
    </row>
    <row r="10" spans="2:12" ht="36.75" customHeight="1" x14ac:dyDescent="0.25">
      <c r="B10" s="182">
        <v>45728</v>
      </c>
      <c r="C10" s="182" t="s">
        <v>321</v>
      </c>
      <c r="D10" s="182" t="s">
        <v>323</v>
      </c>
      <c r="H10" s="33"/>
      <c r="I10" s="33"/>
      <c r="J10" s="34"/>
      <c r="K10" s="35"/>
      <c r="L10" s="33"/>
    </row>
    <row r="11" spans="2:12" ht="36.75" customHeight="1" x14ac:dyDescent="0.25">
      <c r="B11" s="145">
        <v>45725</v>
      </c>
      <c r="C11" s="145" t="s">
        <v>89</v>
      </c>
      <c r="D11" s="145" t="s">
        <v>146</v>
      </c>
      <c r="H11" s="33"/>
      <c r="I11" s="33"/>
      <c r="J11" s="34"/>
      <c r="K11" s="35"/>
      <c r="L11" s="33"/>
    </row>
    <row r="12" spans="2:12" ht="36.75" customHeight="1" x14ac:dyDescent="0.25">
      <c r="B12" s="145">
        <v>45723</v>
      </c>
      <c r="C12" s="145" t="s">
        <v>147</v>
      </c>
      <c r="D12" s="145" t="s">
        <v>148</v>
      </c>
      <c r="H12" s="33"/>
      <c r="I12" s="33"/>
      <c r="J12" s="34"/>
      <c r="K12" s="35"/>
      <c r="L12" s="33"/>
    </row>
    <row r="13" spans="2:12" ht="45" x14ac:dyDescent="0.25">
      <c r="B13" s="145">
        <v>45722</v>
      </c>
      <c r="C13" s="145" t="s">
        <v>149</v>
      </c>
      <c r="D13" s="145" t="s">
        <v>150</v>
      </c>
      <c r="H13" s="174"/>
      <c r="I13" s="174"/>
      <c r="J13" s="175"/>
      <c r="K13" s="176"/>
      <c r="L13" s="174"/>
    </row>
    <row r="14" spans="2:12" ht="36.75" customHeight="1" x14ac:dyDescent="0.25">
      <c r="B14" s="145">
        <v>45720</v>
      </c>
      <c r="C14" s="145" t="s">
        <v>151</v>
      </c>
      <c r="D14" s="145" t="s">
        <v>152</v>
      </c>
      <c r="H14" s="33"/>
      <c r="I14" s="33"/>
      <c r="J14" s="34"/>
      <c r="K14" s="35"/>
      <c r="L14" s="33"/>
    </row>
    <row r="15" spans="2:12" ht="36.75" customHeight="1" x14ac:dyDescent="0.25">
      <c r="B15" s="145">
        <v>45719</v>
      </c>
      <c r="C15" s="145" t="s">
        <v>153</v>
      </c>
      <c r="D15" s="145" t="s">
        <v>154</v>
      </c>
      <c r="H15" s="33"/>
      <c r="I15" s="33"/>
      <c r="J15" s="34"/>
      <c r="K15" s="35"/>
      <c r="L15" s="33"/>
    </row>
    <row r="16" spans="2:12" ht="36.75" customHeight="1" x14ac:dyDescent="0.25">
      <c r="B16" s="145">
        <v>45719</v>
      </c>
      <c r="C16" s="145" t="s">
        <v>155</v>
      </c>
      <c r="D16" s="145" t="s">
        <v>156</v>
      </c>
      <c r="H16" s="33"/>
      <c r="I16" s="33"/>
      <c r="J16" s="34"/>
      <c r="K16" s="35"/>
      <c r="L16" s="33"/>
    </row>
    <row r="17" spans="2:15" x14ac:dyDescent="0.25">
      <c r="B17" s="145">
        <v>45691</v>
      </c>
      <c r="C17" s="145" t="s">
        <v>157</v>
      </c>
      <c r="D17" s="145" t="s">
        <v>158</v>
      </c>
      <c r="H17" s="33"/>
      <c r="I17" s="33"/>
      <c r="J17" s="34"/>
      <c r="K17" s="35"/>
      <c r="L17" s="33"/>
    </row>
    <row r="18" spans="2:15" ht="60" x14ac:dyDescent="0.25">
      <c r="B18" s="145">
        <v>45690</v>
      </c>
      <c r="C18" s="145" t="s">
        <v>159</v>
      </c>
      <c r="D18" s="145" t="s">
        <v>160</v>
      </c>
      <c r="H18" s="33"/>
      <c r="I18" s="33"/>
      <c r="J18" s="34"/>
      <c r="K18" s="35"/>
      <c r="L18" s="33"/>
    </row>
    <row r="19" spans="2:15" x14ac:dyDescent="0.25">
      <c r="B19" s="145">
        <v>45718</v>
      </c>
      <c r="C19" s="145" t="s">
        <v>161</v>
      </c>
      <c r="D19" s="145" t="s">
        <v>162</v>
      </c>
      <c r="H19" s="33"/>
      <c r="I19" s="33"/>
      <c r="J19" s="34"/>
      <c r="K19" s="35"/>
      <c r="L19" s="33"/>
    </row>
    <row r="20" spans="2:15" ht="150" x14ac:dyDescent="0.25">
      <c r="B20" s="145">
        <v>45717</v>
      </c>
      <c r="C20" s="145" t="s">
        <v>163</v>
      </c>
      <c r="D20" s="145" t="s">
        <v>164</v>
      </c>
      <c r="H20" s="33"/>
      <c r="I20" s="33"/>
      <c r="J20" s="34"/>
      <c r="K20" s="35"/>
      <c r="L20" s="33"/>
    </row>
    <row r="21" spans="2:15" customFormat="1" ht="36.75" customHeight="1" x14ac:dyDescent="0.25">
      <c r="B21" s="145">
        <v>45717</v>
      </c>
      <c r="C21" s="91" t="s">
        <v>165</v>
      </c>
      <c r="D21" s="91" t="s">
        <v>166</v>
      </c>
      <c r="H21" s="139"/>
      <c r="I21" s="139"/>
      <c r="J21" s="140"/>
      <c r="K21" s="141"/>
      <c r="L21" s="139"/>
    </row>
    <row r="22" spans="2:15" ht="120" x14ac:dyDescent="0.25">
      <c r="B22" s="91" t="s">
        <v>167</v>
      </c>
      <c r="C22" s="91" t="s">
        <v>168</v>
      </c>
      <c r="D22" s="91" t="s">
        <v>169</v>
      </c>
      <c r="H22" s="33"/>
      <c r="I22" s="33"/>
      <c r="J22" s="34"/>
      <c r="K22" s="35"/>
      <c r="L22" s="33"/>
    </row>
    <row r="23" spans="2:15" ht="75" x14ac:dyDescent="0.25">
      <c r="B23" s="91" t="s">
        <v>167</v>
      </c>
      <c r="C23" s="91" t="s">
        <v>170</v>
      </c>
      <c r="D23" s="91" t="s">
        <v>171</v>
      </c>
      <c r="H23" s="33"/>
      <c r="I23" s="33"/>
      <c r="J23" s="34"/>
      <c r="K23" s="35"/>
      <c r="L23" s="33"/>
    </row>
    <row r="24" spans="2:15" ht="58.5" customHeight="1" x14ac:dyDescent="0.25">
      <c r="B24" s="91" t="s">
        <v>172</v>
      </c>
      <c r="C24" s="91" t="s">
        <v>173</v>
      </c>
      <c r="D24" s="91" t="s">
        <v>174</v>
      </c>
      <c r="H24" s="33"/>
      <c r="I24" s="33"/>
      <c r="J24" s="34"/>
      <c r="K24" s="35"/>
      <c r="L24" s="33"/>
    </row>
    <row r="25" spans="2:15" customFormat="1" ht="45" x14ac:dyDescent="0.25">
      <c r="B25" s="93">
        <v>45715</v>
      </c>
      <c r="C25" s="91" t="s">
        <v>175</v>
      </c>
      <c r="D25" s="91" t="s">
        <v>176</v>
      </c>
      <c r="H25" s="139"/>
      <c r="I25" s="139"/>
      <c r="J25" s="140"/>
      <c r="K25" s="141"/>
      <c r="L25" s="139"/>
    </row>
    <row r="26" spans="2:15" customFormat="1" ht="45" x14ac:dyDescent="0.25">
      <c r="B26" s="93">
        <v>45715</v>
      </c>
      <c r="C26" s="91" t="s">
        <v>177</v>
      </c>
      <c r="D26" s="91" t="s">
        <v>178</v>
      </c>
      <c r="H26" s="139"/>
      <c r="I26" s="139"/>
      <c r="J26" s="140"/>
      <c r="K26" s="141"/>
      <c r="L26" s="139"/>
    </row>
    <row r="27" spans="2:15" ht="60" x14ac:dyDescent="0.25">
      <c r="B27" s="93">
        <v>45714</v>
      </c>
      <c r="C27" s="91" t="s">
        <v>179</v>
      </c>
      <c r="D27" s="91" t="s">
        <v>180</v>
      </c>
      <c r="H27" s="33"/>
      <c r="I27" s="33"/>
      <c r="J27" s="34"/>
      <c r="K27" s="35"/>
      <c r="L27" s="33"/>
    </row>
    <row r="28" spans="2:15" ht="36.75" customHeight="1" x14ac:dyDescent="0.25">
      <c r="B28" s="93">
        <v>45713</v>
      </c>
      <c r="C28" s="91" t="s">
        <v>181</v>
      </c>
      <c r="D28" s="91" t="s">
        <v>182</v>
      </c>
      <c r="H28" s="33"/>
      <c r="I28" s="33"/>
      <c r="J28" s="34"/>
      <c r="K28" s="35"/>
      <c r="L28" s="33"/>
    </row>
    <row r="29" spans="2:15" ht="30" x14ac:dyDescent="0.25">
      <c r="B29" s="245" t="s">
        <v>183</v>
      </c>
      <c r="C29" s="84" t="s">
        <v>184</v>
      </c>
      <c r="D29" s="84" t="s">
        <v>185</v>
      </c>
      <c r="G29" s="36"/>
      <c r="H29" s="33"/>
      <c r="I29" s="33"/>
      <c r="J29" s="34"/>
      <c r="K29" s="35"/>
      <c r="L29" s="33"/>
      <c r="O29" s="36"/>
    </row>
    <row r="30" spans="2:15" ht="30" x14ac:dyDescent="0.25">
      <c r="B30" s="246"/>
      <c r="C30" s="85" t="s">
        <v>186</v>
      </c>
      <c r="D30" s="85" t="s">
        <v>187</v>
      </c>
      <c r="F30" s="36"/>
      <c r="G30" s="34"/>
      <c r="H30" s="33"/>
      <c r="I30" s="34"/>
      <c r="J30" s="33"/>
      <c r="K30" s="33"/>
    </row>
    <row r="31" spans="2:15" ht="30" customHeight="1" x14ac:dyDescent="0.25">
      <c r="B31" s="247"/>
      <c r="C31" s="86"/>
      <c r="D31" s="86" t="s">
        <v>188</v>
      </c>
      <c r="G31" s="33"/>
      <c r="H31" s="33"/>
      <c r="I31" s="34"/>
      <c r="J31" s="35"/>
      <c r="K31" s="33"/>
    </row>
    <row r="32" spans="2:15" ht="30" customHeight="1" x14ac:dyDescent="0.25">
      <c r="B32" s="248" t="s">
        <v>189</v>
      </c>
      <c r="C32" s="87" t="s">
        <v>190</v>
      </c>
      <c r="D32" s="87" t="s">
        <v>191</v>
      </c>
      <c r="F32" s="36"/>
      <c r="G32" s="33"/>
      <c r="H32" s="33"/>
      <c r="I32" s="34"/>
      <c r="J32" s="35"/>
      <c r="K32" s="33"/>
    </row>
    <row r="33" spans="2:11" ht="30" customHeight="1" x14ac:dyDescent="0.25">
      <c r="B33" s="249"/>
      <c r="C33" s="88" t="s">
        <v>192</v>
      </c>
      <c r="D33" s="89"/>
      <c r="F33" s="36"/>
      <c r="G33" s="34"/>
      <c r="H33" s="33"/>
      <c r="I33" s="34"/>
      <c r="J33" s="35"/>
      <c r="K33" s="35"/>
    </row>
    <row r="34" spans="2:11" ht="30" customHeight="1" x14ac:dyDescent="0.25">
      <c r="B34" s="249"/>
      <c r="C34" s="88" t="s">
        <v>193</v>
      </c>
      <c r="D34" s="88" t="s">
        <v>194</v>
      </c>
      <c r="F34" s="36"/>
      <c r="G34" s="34"/>
      <c r="H34" s="33"/>
      <c r="I34" s="34"/>
      <c r="J34" s="35"/>
      <c r="K34" s="35"/>
    </row>
    <row r="35" spans="2:11" ht="30" customHeight="1" x14ac:dyDescent="0.25">
      <c r="B35" s="249"/>
      <c r="C35" s="88" t="s">
        <v>195</v>
      </c>
      <c r="D35" s="89"/>
      <c r="F35" s="36"/>
      <c r="G35" s="33"/>
      <c r="H35" s="33"/>
      <c r="I35" s="33"/>
      <c r="J35" s="33"/>
      <c r="K35" s="33"/>
    </row>
    <row r="36" spans="2:11" ht="30" customHeight="1" x14ac:dyDescent="0.25">
      <c r="B36" s="249"/>
      <c r="C36" s="88" t="s">
        <v>196</v>
      </c>
      <c r="D36" s="88" t="s">
        <v>197</v>
      </c>
      <c r="F36" s="36"/>
      <c r="G36" s="33"/>
      <c r="H36" s="33"/>
      <c r="I36" s="33"/>
      <c r="J36" s="33"/>
      <c r="K36" s="33"/>
    </row>
    <row r="37" spans="2:11" ht="30" customHeight="1" x14ac:dyDescent="0.25">
      <c r="B37" s="249"/>
      <c r="C37" s="88" t="s">
        <v>198</v>
      </c>
      <c r="D37" s="89"/>
      <c r="F37" s="36"/>
      <c r="G37" s="34"/>
      <c r="H37" s="35"/>
      <c r="I37" s="33"/>
      <c r="J37" s="33"/>
      <c r="K37" s="33"/>
    </row>
    <row r="38" spans="2:11" ht="30" customHeight="1" x14ac:dyDescent="0.25">
      <c r="B38" s="249"/>
      <c r="C38" s="88" t="s">
        <v>199</v>
      </c>
      <c r="D38" s="88" t="s">
        <v>200</v>
      </c>
      <c r="F38" s="36"/>
      <c r="G38" s="34"/>
      <c r="H38" s="35"/>
      <c r="I38" s="33"/>
      <c r="J38" s="33"/>
      <c r="K38" s="33"/>
    </row>
    <row r="39" spans="2:11" ht="30" customHeight="1" x14ac:dyDescent="0.25">
      <c r="B39" s="249"/>
      <c r="C39" s="88" t="s">
        <v>201</v>
      </c>
      <c r="D39" s="88" t="s">
        <v>202</v>
      </c>
      <c r="F39" s="36"/>
      <c r="G39" s="33"/>
      <c r="H39" s="33"/>
      <c r="I39" s="33"/>
      <c r="J39" s="33"/>
      <c r="K39" s="33"/>
    </row>
    <row r="40" spans="2:11" ht="30" customHeight="1" x14ac:dyDescent="0.25">
      <c r="B40" s="249"/>
      <c r="C40" s="88" t="s">
        <v>203</v>
      </c>
      <c r="D40" s="88"/>
      <c r="F40" s="36"/>
      <c r="G40" s="33"/>
      <c r="H40" s="33"/>
      <c r="I40" s="34"/>
      <c r="J40" s="35"/>
      <c r="K40" s="33"/>
    </row>
    <row r="41" spans="2:11" ht="30" customHeight="1" x14ac:dyDescent="0.25">
      <c r="B41" s="249"/>
      <c r="C41" s="88" t="s">
        <v>204</v>
      </c>
      <c r="D41" s="88"/>
      <c r="F41" s="36"/>
      <c r="G41" s="34"/>
      <c r="H41" s="34"/>
      <c r="I41" s="34"/>
      <c r="J41" s="33"/>
      <c r="K41" s="33"/>
    </row>
    <row r="42" spans="2:11" ht="30" customHeight="1" x14ac:dyDescent="0.25">
      <c r="B42" s="249"/>
      <c r="C42" s="88" t="s">
        <v>205</v>
      </c>
      <c r="D42" s="88"/>
      <c r="F42" s="36"/>
      <c r="G42" s="33"/>
      <c r="H42" s="33"/>
      <c r="I42" s="34"/>
      <c r="J42" s="33"/>
      <c r="K42" s="33"/>
    </row>
    <row r="43" spans="2:11" ht="30" customHeight="1" x14ac:dyDescent="0.25">
      <c r="B43" s="249"/>
      <c r="C43" s="88" t="s">
        <v>206</v>
      </c>
      <c r="D43" s="88"/>
      <c r="F43" s="36"/>
      <c r="G43" s="34"/>
      <c r="H43" s="34"/>
      <c r="I43" s="34"/>
      <c r="J43" s="33"/>
      <c r="K43" s="33"/>
    </row>
    <row r="44" spans="2:11" ht="30" customHeight="1" x14ac:dyDescent="0.25">
      <c r="B44" s="249"/>
      <c r="C44" s="88" t="s">
        <v>207</v>
      </c>
      <c r="D44" s="88"/>
      <c r="F44" s="36"/>
      <c r="G44" s="34"/>
      <c r="H44" s="34"/>
      <c r="I44" s="34"/>
      <c r="J44" s="33"/>
      <c r="K44" s="33"/>
    </row>
    <row r="45" spans="2:11" ht="30" customHeight="1" x14ac:dyDescent="0.25">
      <c r="B45" s="249"/>
      <c r="C45" s="88"/>
      <c r="D45" s="88"/>
    </row>
    <row r="46" spans="2:11" ht="30" customHeight="1" x14ac:dyDescent="0.25">
      <c r="B46" s="250"/>
      <c r="C46" s="90" t="s">
        <v>208</v>
      </c>
      <c r="D46" s="90"/>
    </row>
    <row r="47" spans="2:11" ht="30" customHeight="1" x14ac:dyDescent="0.25">
      <c r="B47" s="245" t="s">
        <v>209</v>
      </c>
      <c r="C47" s="245" t="s">
        <v>210</v>
      </c>
      <c r="D47" s="84" t="s">
        <v>211</v>
      </c>
    </row>
    <row r="48" spans="2:11" ht="30" customHeight="1" x14ac:dyDescent="0.25">
      <c r="B48" s="246"/>
      <c r="C48" s="246"/>
      <c r="D48" s="85" t="s">
        <v>212</v>
      </c>
    </row>
    <row r="49" spans="2:4" ht="30" customHeight="1" x14ac:dyDescent="0.25">
      <c r="B49" s="247"/>
      <c r="C49" s="247"/>
      <c r="D49" s="86" t="s">
        <v>213</v>
      </c>
    </row>
    <row r="50" spans="2:4" ht="30" customHeight="1" x14ac:dyDescent="0.25">
      <c r="B50" s="83" t="s">
        <v>214</v>
      </c>
      <c r="C50" s="91" t="s">
        <v>215</v>
      </c>
      <c r="D50" s="91" t="s">
        <v>216</v>
      </c>
    </row>
    <row r="51" spans="2:4" ht="30" customHeight="1" x14ac:dyDescent="0.25">
      <c r="B51" s="248" t="s">
        <v>217</v>
      </c>
      <c r="C51" s="87" t="s">
        <v>218</v>
      </c>
      <c r="D51" s="84" t="s">
        <v>219</v>
      </c>
    </row>
    <row r="52" spans="2:4" ht="30" customHeight="1" x14ac:dyDescent="0.25">
      <c r="B52" s="249"/>
      <c r="C52" s="89"/>
      <c r="D52" s="85" t="s">
        <v>220</v>
      </c>
    </row>
    <row r="53" spans="2:4" ht="30" customHeight="1" x14ac:dyDescent="0.25">
      <c r="B53" s="249"/>
      <c r="C53" s="88" t="s">
        <v>221</v>
      </c>
      <c r="D53" s="85" t="s">
        <v>222</v>
      </c>
    </row>
    <row r="54" spans="2:4" x14ac:dyDescent="0.25">
      <c r="B54" s="250"/>
      <c r="C54" s="90"/>
      <c r="D54" s="86" t="s">
        <v>223</v>
      </c>
    </row>
    <row r="55" spans="2:4" ht="30" x14ac:dyDescent="0.25">
      <c r="B55" s="83" t="s">
        <v>224</v>
      </c>
      <c r="C55" s="91" t="s">
        <v>225</v>
      </c>
      <c r="D55" s="91" t="s">
        <v>226</v>
      </c>
    </row>
    <row r="56" spans="2:4" ht="30" x14ac:dyDescent="0.25">
      <c r="B56" s="251">
        <v>43984</v>
      </c>
      <c r="C56" s="84" t="s">
        <v>227</v>
      </c>
      <c r="D56" s="84" t="s">
        <v>228</v>
      </c>
    </row>
    <row r="57" spans="2:4" ht="150" x14ac:dyDescent="0.25">
      <c r="B57" s="252"/>
      <c r="C57" s="85" t="s">
        <v>229</v>
      </c>
      <c r="D57" s="85" t="s">
        <v>230</v>
      </c>
    </row>
    <row r="58" spans="2:4" ht="30" x14ac:dyDescent="0.25">
      <c r="B58" s="252"/>
      <c r="C58" s="85" t="s">
        <v>231</v>
      </c>
      <c r="D58" s="85" t="s">
        <v>232</v>
      </c>
    </row>
    <row r="59" spans="2:4" x14ac:dyDescent="0.25">
      <c r="B59" s="252"/>
      <c r="C59" s="85"/>
      <c r="D59" s="85" t="s">
        <v>233</v>
      </c>
    </row>
    <row r="60" spans="2:4" x14ac:dyDescent="0.25">
      <c r="B60" s="252"/>
      <c r="C60" s="85"/>
      <c r="D60" s="85" t="s">
        <v>234</v>
      </c>
    </row>
    <row r="61" spans="2:4" x14ac:dyDescent="0.25">
      <c r="B61" s="252"/>
      <c r="C61" s="85"/>
      <c r="D61" s="85"/>
    </row>
    <row r="62" spans="2:4" x14ac:dyDescent="0.25">
      <c r="B62" s="253"/>
      <c r="C62" s="86"/>
      <c r="D62" s="86" t="s">
        <v>235</v>
      </c>
    </row>
    <row r="63" spans="2:4" x14ac:dyDescent="0.25">
      <c r="B63" s="242">
        <v>45718</v>
      </c>
      <c r="C63" s="84" t="s">
        <v>236</v>
      </c>
      <c r="D63" s="84" t="s">
        <v>237</v>
      </c>
    </row>
    <row r="64" spans="2:4" x14ac:dyDescent="0.25">
      <c r="B64" s="243"/>
      <c r="C64" s="85" t="s">
        <v>238</v>
      </c>
      <c r="D64" s="85" t="s">
        <v>239</v>
      </c>
    </row>
    <row r="65" spans="2:4" x14ac:dyDescent="0.25">
      <c r="B65" s="244"/>
      <c r="C65" s="86"/>
      <c r="D65" s="86" t="s">
        <v>240</v>
      </c>
    </row>
    <row r="66" spans="2:4" ht="30" x14ac:dyDescent="0.25">
      <c r="B66" s="92">
        <v>45717</v>
      </c>
      <c r="C66" s="83" t="s">
        <v>241</v>
      </c>
      <c r="D66" s="91" t="s">
        <v>242</v>
      </c>
    </row>
    <row r="67" spans="2:4" ht="30" x14ac:dyDescent="0.25">
      <c r="B67" s="92">
        <v>45659</v>
      </c>
      <c r="C67" s="91" t="s">
        <v>243</v>
      </c>
      <c r="D67" s="91" t="s">
        <v>244</v>
      </c>
    </row>
    <row r="68" spans="2:4" ht="30" x14ac:dyDescent="0.25">
      <c r="B68" s="92">
        <v>45659</v>
      </c>
      <c r="C68" s="91" t="s">
        <v>245</v>
      </c>
      <c r="D68" s="91" t="s">
        <v>246</v>
      </c>
    </row>
  </sheetData>
  <mergeCells count="7">
    <mergeCell ref="B63:B65"/>
    <mergeCell ref="B29:B31"/>
    <mergeCell ref="B32:B46"/>
    <mergeCell ref="B47:B49"/>
    <mergeCell ref="C47:C49"/>
    <mergeCell ref="B51:B54"/>
    <mergeCell ref="B56:B62"/>
  </mergeCells>
  <phoneticPr fontId="1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86011-EC48-4F97-ABBD-D0087E950463}">
  <sheetPr codeName="Sheet6"/>
  <dimension ref="B1:F19"/>
  <sheetViews>
    <sheetView rightToLeft="1" zoomScale="75" zoomScaleNormal="75" workbookViewId="0">
      <selection activeCell="C34" sqref="C34"/>
    </sheetView>
  </sheetViews>
  <sheetFormatPr defaultRowHeight="15" x14ac:dyDescent="0.25"/>
  <cols>
    <col min="2" max="2" width="20.28515625" customWidth="1"/>
    <col min="3" max="3" width="109.28515625" customWidth="1"/>
    <col min="4" max="4" width="32.85546875" customWidth="1"/>
    <col min="6" max="6" width="122.28515625" customWidth="1"/>
  </cols>
  <sheetData>
    <row r="1" spans="2:6" ht="15.75" thickBot="1" x14ac:dyDescent="0.3"/>
    <row r="2" spans="2:6" ht="44.25" customHeight="1" thickBot="1" x14ac:dyDescent="0.3">
      <c r="B2" s="254" t="s">
        <v>7</v>
      </c>
      <c r="C2" s="255"/>
      <c r="D2" s="256"/>
      <c r="F2" s="257" t="s">
        <v>247</v>
      </c>
    </row>
    <row r="3" spans="2:6" ht="24" customHeight="1" thickBot="1" x14ac:dyDescent="0.3">
      <c r="B3" s="9" t="s">
        <v>1</v>
      </c>
      <c r="C3" s="10" t="s">
        <v>248</v>
      </c>
      <c r="D3" s="11" t="s">
        <v>249</v>
      </c>
      <c r="F3" s="258"/>
    </row>
    <row r="4" spans="2:6" ht="69.95" customHeight="1" x14ac:dyDescent="0.25">
      <c r="B4" s="12"/>
      <c r="C4" s="13" t="s">
        <v>250</v>
      </c>
      <c r="D4" s="14" t="s">
        <v>251</v>
      </c>
      <c r="F4" s="23" t="s">
        <v>252</v>
      </c>
    </row>
    <row r="5" spans="2:6" ht="69.95" customHeight="1" x14ac:dyDescent="0.25">
      <c r="B5" s="12" t="s">
        <v>253</v>
      </c>
      <c r="C5" s="15" t="s">
        <v>254</v>
      </c>
      <c r="D5" s="8" t="s">
        <v>255</v>
      </c>
      <c r="F5" s="26" t="s">
        <v>256</v>
      </c>
    </row>
    <row r="6" spans="2:6" ht="69.95" customHeight="1" x14ac:dyDescent="0.25">
      <c r="B6" s="12"/>
      <c r="C6" s="16" t="s">
        <v>257</v>
      </c>
      <c r="D6" s="14" t="s">
        <v>258</v>
      </c>
      <c r="F6" s="27" t="s">
        <v>259</v>
      </c>
    </row>
    <row r="7" spans="2:6" ht="69.95" customHeight="1" x14ac:dyDescent="0.25">
      <c r="B7" s="12"/>
      <c r="C7" s="17" t="s">
        <v>260</v>
      </c>
      <c r="D7" s="14" t="s">
        <v>258</v>
      </c>
      <c r="F7" s="29" t="s">
        <v>261</v>
      </c>
    </row>
    <row r="8" spans="2:6" ht="30" customHeight="1" x14ac:dyDescent="0.25">
      <c r="B8" s="12"/>
      <c r="C8" s="7" t="s">
        <v>262</v>
      </c>
      <c r="D8" s="14" t="s">
        <v>258</v>
      </c>
      <c r="F8" s="26" t="s">
        <v>263</v>
      </c>
    </row>
    <row r="9" spans="2:6" ht="30" customHeight="1" x14ac:dyDescent="0.25">
      <c r="B9" s="12"/>
      <c r="C9" s="7" t="s">
        <v>264</v>
      </c>
      <c r="D9" s="14" t="s">
        <v>258</v>
      </c>
      <c r="F9" s="26" t="s">
        <v>265</v>
      </c>
    </row>
    <row r="10" spans="2:6" ht="30" customHeight="1" x14ac:dyDescent="0.25">
      <c r="B10" s="12"/>
      <c r="C10" s="7" t="s">
        <v>266</v>
      </c>
      <c r="D10" s="14" t="s">
        <v>267</v>
      </c>
      <c r="F10" s="22" t="s">
        <v>268</v>
      </c>
    </row>
    <row r="11" spans="2:6" ht="30" customHeight="1" x14ac:dyDescent="0.25">
      <c r="B11" s="12"/>
      <c r="C11" s="7" t="s">
        <v>9</v>
      </c>
      <c r="D11" s="14" t="s">
        <v>258</v>
      </c>
      <c r="F11" s="31" t="s">
        <v>269</v>
      </c>
    </row>
    <row r="12" spans="2:6" ht="30" customHeight="1" x14ac:dyDescent="0.25">
      <c r="B12" s="12"/>
      <c r="C12" s="7" t="s">
        <v>11</v>
      </c>
      <c r="D12" s="14" t="s">
        <v>258</v>
      </c>
      <c r="F12" s="30" t="s">
        <v>270</v>
      </c>
    </row>
    <row r="13" spans="2:6" ht="30" customHeight="1" x14ac:dyDescent="0.25">
      <c r="B13" s="12"/>
      <c r="C13" s="7" t="s">
        <v>14</v>
      </c>
      <c r="D13" s="14" t="s">
        <v>258</v>
      </c>
      <c r="F13" s="24" t="s">
        <v>271</v>
      </c>
    </row>
    <row r="14" spans="2:6" ht="30" customHeight="1" x14ac:dyDescent="0.25">
      <c r="B14" s="12"/>
      <c r="C14" s="7" t="s">
        <v>16</v>
      </c>
      <c r="D14" s="14"/>
      <c r="F14" s="28" t="s">
        <v>272</v>
      </c>
    </row>
    <row r="15" spans="2:6" ht="30" customHeight="1" x14ac:dyDescent="0.25">
      <c r="B15" s="12"/>
      <c r="C15" s="7" t="s">
        <v>18</v>
      </c>
      <c r="D15" s="14" t="s">
        <v>258</v>
      </c>
      <c r="F15" s="28" t="s">
        <v>273</v>
      </c>
    </row>
    <row r="16" spans="2:6" ht="30" customHeight="1" x14ac:dyDescent="0.25">
      <c r="B16" s="12"/>
      <c r="C16" s="7" t="s">
        <v>20</v>
      </c>
      <c r="D16" s="14" t="s">
        <v>258</v>
      </c>
      <c r="F16" s="25" t="s">
        <v>274</v>
      </c>
    </row>
    <row r="17" spans="2:4" ht="30" customHeight="1" x14ac:dyDescent="0.25">
      <c r="B17" s="12"/>
      <c r="C17" s="7" t="s">
        <v>275</v>
      </c>
      <c r="D17" s="14" t="s">
        <v>258</v>
      </c>
    </row>
    <row r="18" spans="2:4" ht="30" customHeight="1" x14ac:dyDescent="0.25">
      <c r="B18" s="12"/>
      <c r="C18" s="7" t="s">
        <v>276</v>
      </c>
      <c r="D18" s="14" t="s">
        <v>258</v>
      </c>
    </row>
    <row r="19" spans="2:4" ht="30" customHeight="1" thickBot="1" x14ac:dyDescent="0.3">
      <c r="B19" s="18"/>
      <c r="C19" s="19" t="s">
        <v>277</v>
      </c>
      <c r="D19" s="20" t="s">
        <v>258</v>
      </c>
    </row>
  </sheetData>
  <mergeCells count="2">
    <mergeCell ref="B2:D2"/>
    <mergeCell ref="F2:F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4650A-33E4-4609-9C34-283F3F06A881}">
  <sheetPr codeName="Sheet7">
    <tabColor theme="4" tint="0.39997558519241921"/>
    <pageSetUpPr fitToPage="1"/>
  </sheetPr>
  <dimension ref="B1:S200"/>
  <sheetViews>
    <sheetView showGridLines="0" topLeftCell="A3" zoomScaleNormal="100" workbookViewId="0">
      <selection activeCell="D6" sqref="D6"/>
    </sheetView>
  </sheetViews>
  <sheetFormatPr defaultRowHeight="15" x14ac:dyDescent="0.25"/>
  <cols>
    <col min="1" max="1" width="3" customWidth="1"/>
    <col min="2" max="8" width="20.7109375" customWidth="1"/>
    <col min="9" max="9" width="3.28515625" customWidth="1"/>
    <col min="10" max="10" width="9.42578125" bestFit="1" customWidth="1"/>
    <col min="11" max="11" width="9.42578125" customWidth="1"/>
    <col min="12" max="12" width="9.28515625" bestFit="1" customWidth="1"/>
    <col min="13" max="13" width="9.140625" style="65" customWidth="1"/>
    <col min="14" max="14" width="44.85546875" style="65" customWidth="1"/>
    <col min="15" max="15" width="17.28515625" style="78" customWidth="1"/>
    <col min="18" max="19" width="9.140625" hidden="1" customWidth="1"/>
    <col min="20" max="20" width="9.140625" customWidth="1"/>
  </cols>
  <sheetData>
    <row r="1" spans="2:19" hidden="1" x14ac:dyDescent="0.25">
      <c r="B1" s="62" t="s">
        <v>278</v>
      </c>
      <c r="C1" s="62" t="s">
        <v>279</v>
      </c>
      <c r="D1" s="261" t="s">
        <v>280</v>
      </c>
      <c r="E1" s="262"/>
      <c r="F1" s="262"/>
      <c r="J1" s="63">
        <f>EOMONTH(DATEVALUE(currentmonth&amp;" "&amp;currentyear),0)</f>
        <v>45777</v>
      </c>
      <c r="K1" s="63"/>
      <c r="L1" s="64">
        <f>WEEKDAY(DATEVALUE('עבודות מתוכננות'!C2&amp;" "&amp;'עבודות מתוכננות'!B2))</f>
        <v>3</v>
      </c>
    </row>
    <row r="2" spans="2:19" ht="36.75" hidden="1" customHeight="1" x14ac:dyDescent="0.25">
      <c r="B2" s="66">
        <f>J9</f>
        <v>2025</v>
      </c>
      <c r="C2" s="66" t="str">
        <f t="array" ref="C2">INDEX(S4:S15,R4)</f>
        <v>April</v>
      </c>
      <c r="D2" s="263" t="s">
        <v>281</v>
      </c>
      <c r="E2" s="264"/>
      <c r="F2" s="265"/>
    </row>
    <row r="3" spans="2:19" ht="63" customHeight="1" x14ac:dyDescent="0.9">
      <c r="B3" s="266" t="str">
        <f>'עבודות מתוכננות'!C2&amp;" "&amp;'עבודות מתוכננות'!B2</f>
        <v>April 2025</v>
      </c>
      <c r="C3" s="267"/>
      <c r="D3" s="267"/>
      <c r="E3" s="267"/>
      <c r="F3" s="267"/>
      <c r="G3" s="267"/>
      <c r="H3" s="267"/>
      <c r="M3" s="268" t="s">
        <v>282</v>
      </c>
      <c r="N3" s="260"/>
      <c r="O3" s="260"/>
    </row>
    <row r="4" spans="2:19" ht="15.75" customHeight="1" x14ac:dyDescent="0.25">
      <c r="B4" s="67" t="s">
        <v>283</v>
      </c>
      <c r="C4" s="68" t="s">
        <v>284</v>
      </c>
      <c r="D4" s="68" t="s">
        <v>285</v>
      </c>
      <c r="E4" s="68" t="s">
        <v>286</v>
      </c>
      <c r="F4" s="68" t="s">
        <v>287</v>
      </c>
      <c r="G4" s="68" t="s">
        <v>288</v>
      </c>
      <c r="H4" s="69" t="s">
        <v>289</v>
      </c>
      <c r="M4" s="70" t="s">
        <v>3</v>
      </c>
      <c r="N4" s="71" t="s">
        <v>290</v>
      </c>
      <c r="O4" s="79" t="s">
        <v>291</v>
      </c>
      <c r="R4" s="65">
        <v>4</v>
      </c>
      <c r="S4" t="s">
        <v>292</v>
      </c>
    </row>
    <row r="5" spans="2:19" ht="23.25" x14ac:dyDescent="0.25">
      <c r="B5" s="72" t="str">
        <f>IF(firstday=COLUMN(A3),DATEVALUE(currentmonth&amp;" "&amp;currentyear),"")</f>
        <v/>
      </c>
      <c r="C5" s="72" t="str">
        <f t="shared" ref="C5:H5" si="0">IF(B5="",IF(firstday=COLUMN(B3),DATEVALUE(currentmonth&amp;" "&amp;currentyear),""),B5+1)</f>
        <v/>
      </c>
      <c r="D5" s="72">
        <f t="shared" si="0"/>
        <v>45748</v>
      </c>
      <c r="E5" s="72">
        <f t="shared" si="0"/>
        <v>45749</v>
      </c>
      <c r="F5" s="72">
        <f t="shared" si="0"/>
        <v>45750</v>
      </c>
      <c r="G5" s="72">
        <f t="shared" si="0"/>
        <v>45751</v>
      </c>
      <c r="H5" s="72">
        <f t="shared" si="0"/>
        <v>45752</v>
      </c>
      <c r="M5" s="80">
        <v>45712</v>
      </c>
      <c r="N5" s="94" t="s">
        <v>293</v>
      </c>
      <c r="O5" s="81" t="s">
        <v>294</v>
      </c>
      <c r="S5" t="s">
        <v>295</v>
      </c>
    </row>
    <row r="6" spans="2:19" x14ac:dyDescent="0.25">
      <c r="B6" s="73" t="str">
        <f t="array" ref="B6">IF(OR(B$5="",COUNTA(tblInputs[Date])&lt;1),"",IFERROR(INDEX(tblInputs[Event Description],LARGE(IF((tblInputs[Date]=B$5), ROW(tblInputs[Date])-MIN(ROW(tblInputs[Date]))+1), ROW(A1)),1),""))</f>
        <v/>
      </c>
      <c r="C6" s="73" t="str">
        <f t="array" ref="C6">IF(OR(C$5="",COUNTA(tblInputs[Date])&lt;1),"",IFERROR(INDEX(tblInputs[Event Description],LARGE(IF((tblInputs[Date]=C$5), ROW(tblInputs[Date])-MIN(ROW(tblInputs[Date]))+1), ROW(B1)),1),""))</f>
        <v/>
      </c>
      <c r="D6" s="197" t="str">
        <f t="array" ref="D6">IF(OR(D$5="",COUNTA(tblInputs[Date])&lt;1),"",IFERROR(INDEX(tblInputs[Event Description],LARGE(IF((tblInputs[Date]=D$5), ROW(tblInputs[Date])-MIN(ROW(tblInputs[Date]))+1), ROW(C1)),1),""))</f>
        <v>Forti Upgrade PTW 4855</v>
      </c>
      <c r="E6" s="73" t="str">
        <f t="array" ref="E6">IF(OR(E$5="",COUNTA(tblInputs[Date])&lt;1),"",IFERROR(INDEX(tblInputs[Event Description],LARGE(IF((tblInputs[Date]=E$5), ROW(tblInputs[Date])-MIN(ROW(tblInputs[Date]))+1), ROW(D1)),1),""))</f>
        <v/>
      </c>
      <c r="F6" s="73" t="str">
        <f t="array" ref="F6">IF(OR(F$5="",COUNTA(tblInputs[Date])&lt;1),"",IFERROR(INDEX(tblInputs[Event Description],LARGE(IF((tblInputs[Date]=F$5), ROW(tblInputs[Date])-MIN(ROW(tblInputs[Date]))+1), ROW(E1)),1),""))</f>
        <v/>
      </c>
      <c r="G6" s="73" t="str">
        <f t="array" ref="G6">IF(OR(G$5="",COUNTA(tblInputs[Date])&lt;1),"",IFERROR(INDEX(tblInputs[Event Description],LARGE(IF((tblInputs[Date]=G$5), ROW(tblInputs[Date])-MIN(ROW(tblInputs[Date]))+1), ROW(F1)),1),""))</f>
        <v/>
      </c>
      <c r="H6" s="73" t="str">
        <f t="array" ref="H6">IF(OR(H$5="",COUNTA(tblInputs[Date])&lt;1),"",IFERROR(INDEX(tblInputs[Event Description],LARGE(IF((tblInputs[Date]=H$5), ROW(tblInputs[Date])-MIN(ROW(tblInputs[Date]))+1), ROW(G1)),1),""))</f>
        <v/>
      </c>
      <c r="K6" s="56"/>
      <c r="M6" s="80">
        <v>45715</v>
      </c>
      <c r="N6" s="82" t="s">
        <v>296</v>
      </c>
      <c r="O6" s="81" t="s">
        <v>297</v>
      </c>
      <c r="S6" t="s">
        <v>298</v>
      </c>
    </row>
    <row r="7" spans="2:19" ht="90" x14ac:dyDescent="0.25">
      <c r="B7" s="73" t="str">
        <f t="array" ref="B7">IF(OR(B$5="",COUNTA(tblInputs[Date])&lt;1),"",IFERROR(INDEX(tblInputs[Event Description],LARGE(IF((tblInputs[Date]=B$5), ROW(tblInputs[Date])-MIN(ROW(tblInputs[Date]))+1), ROW(A2)),1),""))</f>
        <v/>
      </c>
      <c r="C7" s="73" t="str">
        <f t="array" ref="C7">IF(OR(C$5="",COUNTA(tblInputs[Date])&lt;1),"",IFERROR(INDEX(tblInputs[Event Description],LARGE(IF((tblInputs[Date]=C$5), ROW(tblInputs[Date])-MIN(ROW(tblInputs[Date]))+1), ROW(B2)),1),""))</f>
        <v/>
      </c>
      <c r="D7" s="73" t="str">
        <f t="array" ref="D7">IF(OR(D$5="",COUNTA(tblInputs[Date])&lt;1),"",IFERROR(INDEX(tblInputs[Event Description],LARGE(IF((tblInputs[Date]=D$5), ROW(tblInputs[Date])-MIN(ROW(tblInputs[Date]))+1), ROW(C2)),1),""))</f>
        <v/>
      </c>
      <c r="E7" s="73" t="str">
        <f t="array" ref="E7">IF(OR(E$5="",COUNTA(tblInputs[Date])&lt;1),"",IFERROR(INDEX(tblInputs[Event Description],LARGE(IF((tblInputs[Date]=E$5), ROW(tblInputs[Date])-MIN(ROW(tblInputs[Date]))+1), ROW(D2)),1),""))</f>
        <v/>
      </c>
      <c r="F7" s="73" t="str">
        <f t="array" ref="F7">IF(OR(F$5="",COUNTA(tblInputs[Date])&lt;1),"",IFERROR(INDEX(tblInputs[Event Description],LARGE(IF((tblInputs[Date]=F$5), ROW(tblInputs[Date])-MIN(ROW(tblInputs[Date]))+1), ROW(E2)),1),""))</f>
        <v/>
      </c>
      <c r="G7" s="73" t="str">
        <f t="array" ref="G7">IF(OR(G$5="",COUNTA(tblInputs[Date])&lt;1),"",IFERROR(INDEX(tblInputs[Event Description],LARGE(IF((tblInputs[Date]=G$5), ROW(tblInputs[Date])-MIN(ROW(tblInputs[Date]))+1), ROW(F2)),1),""))</f>
        <v/>
      </c>
      <c r="H7" s="73" t="str">
        <f t="array" ref="H7">IF(OR(H$5="",COUNTA(tblInputs[Date])&lt;1),"",IFERROR(INDEX(tblInputs[Event Description],LARGE(IF((tblInputs[Date]=H$5), ROW(tblInputs[Date])-MIN(ROW(tblInputs[Date]))+1), ROW(G2)),1),""))</f>
        <v/>
      </c>
      <c r="M7" s="80">
        <v>45719</v>
      </c>
      <c r="N7" s="82" t="s">
        <v>299</v>
      </c>
      <c r="O7" s="81" t="s">
        <v>300</v>
      </c>
      <c r="S7" t="s">
        <v>301</v>
      </c>
    </row>
    <row r="8" spans="2:19" ht="45" x14ac:dyDescent="0.25">
      <c r="B8" s="73" t="str">
        <f t="array" ref="B8">IF(OR(B$5="",COUNTA(tblInputs[Date])&lt;1),"",IFERROR(INDEX(tblInputs[Event Description],LARGE(IF((tblInputs[Date]=B$5), ROW(tblInputs[Date])-MIN(ROW(tblInputs[Date]))+1), ROW(A3)),1),""))</f>
        <v/>
      </c>
      <c r="C8" s="73" t="str">
        <f t="array" ref="C8">IF(OR(C$5="",COUNTA(tblInputs[Date])&lt;1),"",IFERROR(INDEX(tblInputs[Event Description],LARGE(IF((tblInputs[Date]=C$5), ROW(tblInputs[Date])-MIN(ROW(tblInputs[Date]))+1), ROW(B3)),1),""))</f>
        <v/>
      </c>
      <c r="D8" s="73" t="str">
        <f t="array" ref="D8">IF(OR(D$5="",COUNTA(tblInputs[Date])&lt;1),"",IFERROR(INDEX(tblInputs[Event Description],LARGE(IF((tblInputs[Date]=D$5), ROW(tblInputs[Date])-MIN(ROW(tblInputs[Date]))+1), ROW(C3)),1),""))</f>
        <v/>
      </c>
      <c r="E8" s="73" t="str">
        <f t="array" ref="E8">IF(OR(E$5="",COUNTA(tblInputs[Date])&lt;1),"",IFERROR(INDEX(tblInputs[Event Description],LARGE(IF((tblInputs[Date]=E$5), ROW(tblInputs[Date])-MIN(ROW(tblInputs[Date]))+1), ROW(D3)),1),""))</f>
        <v/>
      </c>
      <c r="F8" s="73" t="str">
        <f t="array" ref="F8">IF(OR(F$5="",COUNTA(tblInputs[Date])&lt;1),"",IFERROR(INDEX(tblInputs[Event Description],LARGE(IF((tblInputs[Date]=F$5), ROW(tblInputs[Date])-MIN(ROW(tblInputs[Date]))+1), ROW(E3)),1),""))</f>
        <v/>
      </c>
      <c r="G8" s="73" t="str">
        <f t="array" ref="G8">IF(OR(G$5="",COUNTA(tblInputs[Date])&lt;1),"",IFERROR(INDEX(tblInputs[Event Description],LARGE(IF((tblInputs[Date]=G$5), ROW(tblInputs[Date])-MIN(ROW(tblInputs[Date]))+1), ROW(F3)),1),""))</f>
        <v/>
      </c>
      <c r="H8" s="73" t="str">
        <f t="array" ref="H8">IF(OR(H$5="",COUNTA(tblInputs[Date])&lt;1),"",IFERROR(INDEX(tblInputs[Event Description],LARGE(IF((tblInputs[Date]=H$5), ROW(tblInputs[Date])-MIN(ROW(tblInputs[Date]))+1), ROW(G3)),1),""))</f>
        <v/>
      </c>
      <c r="J8" s="269" t="s">
        <v>302</v>
      </c>
      <c r="K8" s="262"/>
      <c r="M8" s="80">
        <v>45720</v>
      </c>
      <c r="N8" s="82" t="s">
        <v>303</v>
      </c>
      <c r="O8" s="81" t="s">
        <v>304</v>
      </c>
      <c r="S8" t="s">
        <v>305</v>
      </c>
    </row>
    <row r="9" spans="2:19" x14ac:dyDescent="0.25">
      <c r="B9" s="73" t="str">
        <f t="array" ref="B9">IF(OR(B$5="",COUNTA(tblInputs[Date])&lt;1),"",IFERROR(INDEX(tblInputs[Event Description],LARGE(IF((tblInputs[Date]=B$5), ROW(tblInputs[Date])-MIN(ROW(tblInputs[Date]))+1), ROW(A4)),1),""))</f>
        <v/>
      </c>
      <c r="C9" s="73" t="str">
        <f t="array" ref="C9">IF(OR(C$5="",COUNTA(tblInputs[Date])&lt;1),"",IFERROR(INDEX(tblInputs[Event Description],LARGE(IF((tblInputs[Date]=C$5), ROW(tblInputs[Date])-MIN(ROW(tblInputs[Date]))+1), ROW(B4)),1),""))</f>
        <v/>
      </c>
      <c r="D9" s="73" t="str">
        <f t="array" ref="D9">IF(OR(D$5="",COUNTA(tblInputs[Date])&lt;1),"",IFERROR(INDEX(tblInputs[Event Description],LARGE(IF((tblInputs[Date]=D$5), ROW(tblInputs[Date])-MIN(ROW(tblInputs[Date]))+1), ROW(C4)),1),""))</f>
        <v/>
      </c>
      <c r="E9" s="73" t="str">
        <f t="array" ref="E9">IF(OR(E$5="",COUNTA(tblInputs[Date])&lt;1),"",IFERROR(INDEX(tblInputs[Event Description],LARGE(IF((tblInputs[Date]=E$5), ROW(tblInputs[Date])-MIN(ROW(tblInputs[Date]))+1), ROW(D4)),1),""))</f>
        <v/>
      </c>
      <c r="F9" s="73" t="str">
        <f t="array" ref="F9">IF(OR(F$5="",COUNTA(tblInputs[Date])&lt;1),"",IFERROR(INDEX(tblInputs[Event Description],LARGE(IF((tblInputs[Date]=F$5), ROW(tblInputs[Date])-MIN(ROW(tblInputs[Date]))+1), ROW(E4)),1),""))</f>
        <v/>
      </c>
      <c r="G9" s="73" t="str">
        <f t="array" ref="G9">IF(OR(G$5="",COUNTA(tblInputs[Date])&lt;1),"",IFERROR(INDEX(tblInputs[Event Description],LARGE(IF((tblInputs[Date]=G$5), ROW(tblInputs[Date])-MIN(ROW(tblInputs[Date]))+1), ROW(F4)),1),""))</f>
        <v/>
      </c>
      <c r="H9" s="73" t="str">
        <f t="array" ref="H9">IF(OR(H$5="",COUNTA(tblInputs[Date])&lt;1),"",IFERROR(INDEX(tblInputs[Event Description],LARGE(IF((tblInputs[Date]=H$5), ROW(tblInputs[Date])-MIN(ROW(tblInputs[Date]))+1), ROW(G4)),1),""))</f>
        <v/>
      </c>
      <c r="J9" s="270">
        <v>2025</v>
      </c>
      <c r="K9" s="271"/>
      <c r="M9" s="80">
        <v>45723</v>
      </c>
      <c r="N9" s="82" t="s">
        <v>306</v>
      </c>
      <c r="O9" s="81" t="s">
        <v>307</v>
      </c>
      <c r="S9" t="s">
        <v>308</v>
      </c>
    </row>
    <row r="10" spans="2:19" ht="30" x14ac:dyDescent="0.25">
      <c r="B10" s="73" t="str">
        <f t="array" ref="B10">IF(OR(B$5="",COUNTA(tblInputs[Date])&lt;1),"",IFERROR(INDEX(tblInputs[Event Description],LARGE(IF((tblInputs[Date]=B$5), ROW(tblInputs[Date])-MIN(ROW(tblInputs[Date]))+1), ROW(A5)),1),""))</f>
        <v/>
      </c>
      <c r="C10" s="73" t="str">
        <f t="array" ref="C10">IF(OR(C$5="",COUNTA(tblInputs[Date])&lt;1),"",IFERROR(INDEX(tblInputs[Event Description],LARGE(IF((tblInputs[Date]=C$5), ROW(tblInputs[Date])-MIN(ROW(tblInputs[Date]))+1), ROW(B5)),1),""))</f>
        <v/>
      </c>
      <c r="D10" s="73" t="str">
        <f t="array" ref="D10">IF(OR(D$5="",COUNTA(tblInputs[Date])&lt;1),"",IFERROR(INDEX(tblInputs[Event Description],LARGE(IF((tblInputs[Date]=D$5), ROW(tblInputs[Date])-MIN(ROW(tblInputs[Date]))+1), ROW(C5)),1),""))</f>
        <v/>
      </c>
      <c r="E10" s="73" t="str">
        <f t="array" ref="E10">IF(OR(E$5="",COUNTA(tblInputs[Date])&lt;1),"",IFERROR(INDEX(tblInputs[Event Description],LARGE(IF((tblInputs[Date]=E$5), ROW(tblInputs[Date])-MIN(ROW(tblInputs[Date]))+1), ROW(D5)),1),""))</f>
        <v/>
      </c>
      <c r="F10" s="73" t="str">
        <f t="array" ref="F10">IF(OR(F$5="",COUNTA(tblInputs[Date])&lt;1),"",IFERROR(INDEX(tblInputs[Event Description],LARGE(IF((tblInputs[Date]=F$5), ROW(tblInputs[Date])-MIN(ROW(tblInputs[Date]))+1), ROW(E5)),1),""))</f>
        <v/>
      </c>
      <c r="G10" s="73" t="str">
        <f t="array" ref="G10">IF(OR(G$5="",COUNTA(tblInputs[Date])&lt;1),"",IFERROR(INDEX(tblInputs[Event Description],LARGE(IF((tblInputs[Date]=G$5), ROW(tblInputs[Date])-MIN(ROW(tblInputs[Date]))+1), ROW(F5)),1),""))</f>
        <v/>
      </c>
      <c r="H10" s="73" t="str">
        <f t="array" ref="H10">IF(OR(H$5="",COUNTA(tblInputs[Date])&lt;1),"",IFERROR(INDEX(tblInputs[Event Description],LARGE(IF((tblInputs[Date]=H$5), ROW(tblInputs[Date])-MIN(ROW(tblInputs[Date]))+1), ROW(G5)),1),""))</f>
        <v/>
      </c>
      <c r="M10" s="80">
        <v>45737</v>
      </c>
      <c r="N10" s="82" t="s">
        <v>360</v>
      </c>
      <c r="O10" s="81" t="s">
        <v>359</v>
      </c>
      <c r="S10" t="s">
        <v>309</v>
      </c>
    </row>
    <row r="11" spans="2:19" ht="30" x14ac:dyDescent="0.25">
      <c r="B11" s="74">
        <f>IF(H5="","",IF((H5+1)&gt;lastday,"",H5+1))</f>
        <v>45753</v>
      </c>
      <c r="C11" s="74">
        <f t="shared" ref="C11:H11" si="1">IF(B11="","",IF((B11+1)&gt;lastday,"",B11+1))</f>
        <v>45754</v>
      </c>
      <c r="D11" s="74">
        <f t="shared" si="1"/>
        <v>45755</v>
      </c>
      <c r="E11" s="74">
        <f t="shared" si="1"/>
        <v>45756</v>
      </c>
      <c r="F11" s="74">
        <f t="shared" si="1"/>
        <v>45757</v>
      </c>
      <c r="G11" s="74">
        <f t="shared" si="1"/>
        <v>45758</v>
      </c>
      <c r="H11" s="74">
        <f t="shared" si="1"/>
        <v>45759</v>
      </c>
      <c r="J11" s="272" t="s">
        <v>310</v>
      </c>
      <c r="K11" s="273"/>
      <c r="M11" s="80">
        <v>45746</v>
      </c>
      <c r="N11" s="82" t="s">
        <v>374</v>
      </c>
      <c r="O11" s="81" t="s">
        <v>375</v>
      </c>
      <c r="S11" t="s">
        <v>311</v>
      </c>
    </row>
    <row r="12" spans="2:19" s="56" customFormat="1" ht="23.25" x14ac:dyDescent="0.25">
      <c r="B12" s="73" t="str">
        <f t="array" ref="B12">IF(OR(B$11="",COUNTA(tblInputs[Date])&lt;1),"",IFERROR(INDEX(tblInputs[Event Description],LARGE(IF((tblInputs[Date]=B$11), ROW(tblInputs[Date])-MIN(ROW(tblInputs[Date]))+1), ROW(A1)),1),""))</f>
        <v/>
      </c>
      <c r="C12" s="73" t="str">
        <f t="array" ref="C12">IF(OR(C$11="",COUNTA(tblInputs[Date])&lt;1),"",IFERROR(INDEX(tblInputs[Event Description],LARGE(IF((tblInputs[Date]=C$11), ROW(tblInputs[Date])-MIN(ROW(tblInputs[Date]))+1), ROW(B1)),1),""))</f>
        <v/>
      </c>
      <c r="D12" s="197" t="str">
        <f t="array" ref="D12">IF(OR(D$11="",COUNTA(tblInputs[Date])&lt;1),"",IFERROR(INDEX(tblInputs[Event Description],LARGE(IF((tblInputs[Date]=D$11), ROW(tblInputs[Date])-MIN(ROW(tblInputs[Date]))+1), ROW(C1)),1),""))</f>
        <v>PTW 4828 -שידרוג מערכת ACS בקרת גישה LNL</v>
      </c>
      <c r="E12" s="73" t="str">
        <f t="array" ref="E12">IF(OR(E$11="",COUNTA(tblInputs[Date])&lt;1),"",IFERROR(INDEX(tblInputs[Event Description],LARGE(IF((tblInputs[Date]=E$11), ROW(tblInputs[Date])-MIN(ROW(tblInputs[Date]))+1), ROW(D1)),1),""))</f>
        <v/>
      </c>
      <c r="F12" s="73" t="str">
        <f t="array" ref="F12">IF(OR(F$11="",COUNTA(tblInputs[Date])&lt;1),"",IFERROR(INDEX(tblInputs[Event Description],LARGE(IF((tblInputs[Date]=F$11), ROW(tblInputs[Date])-MIN(ROW(tblInputs[Date]))+1), ROW(E1)),1),""))</f>
        <v/>
      </c>
      <c r="G12" s="73" t="str">
        <f t="array" ref="G12">IF(OR(G$11="",COUNTA(tblInputs[Date])&lt;1),"",IFERROR(INDEX(tblInputs[Event Description],LARGE(IF((tblInputs[Date]=G$11), ROW(tblInputs[Date])-MIN(ROW(tblInputs[Date]))+1), ROW(F1)),1),""))</f>
        <v/>
      </c>
      <c r="H12" s="73" t="str">
        <f t="array" ref="H12">IF(OR(H$11="",COUNTA(tblInputs[Date])&lt;1),"",IFERROR(INDEX(tblInputs[Event Description],LARGE(IF((tblInputs[Date]=H$11), ROW(tblInputs[Date])-MIN(ROW(tblInputs[Date]))+1), ROW(G1)),1),""))</f>
        <v/>
      </c>
      <c r="M12" s="80">
        <v>45748</v>
      </c>
      <c r="N12" s="82" t="s">
        <v>368</v>
      </c>
      <c r="O12" s="81" t="s">
        <v>369</v>
      </c>
      <c r="S12" s="56" t="s">
        <v>312</v>
      </c>
    </row>
    <row r="13" spans="2:19" s="56" customFormat="1" x14ac:dyDescent="0.25">
      <c r="B13" s="73" t="str">
        <f t="array" ref="B13">IF(OR(B$11="",COUNTA(tblInputs[Date])&lt;1),"",IFERROR(INDEX(tblInputs[Event Description],LARGE(IF((tblInputs[Date]=B$11), ROW(tblInputs[Date])-MIN(ROW(tblInputs[Date]))+1), ROW(A2)),1),""))</f>
        <v/>
      </c>
      <c r="C13" s="73" t="str">
        <f t="array" ref="C13">IF(OR(C$11="",COUNTA(tblInputs[Date])&lt;1),"",IFERROR(INDEX(tblInputs[Event Description],LARGE(IF((tblInputs[Date]=C$11), ROW(tblInputs[Date])-MIN(ROW(tblInputs[Date]))+1), ROW(B2)),1),""))</f>
        <v/>
      </c>
      <c r="D13" s="73" t="str">
        <f t="array" ref="D13">IF(OR(D$11="",COUNTA(tblInputs[Date])&lt;1),"",IFERROR(INDEX(tblInputs[Event Description],LARGE(IF((tblInputs[Date]=D$11), ROW(tblInputs[Date])-MIN(ROW(tblInputs[Date]))+1), ROW(C2)),1),""))</f>
        <v/>
      </c>
      <c r="E13" s="73" t="str">
        <f t="array" ref="E13">IF(OR(E$11="",COUNTA(tblInputs[Date])&lt;1),"",IFERROR(INDEX(tblInputs[Event Description],LARGE(IF((tblInputs[Date]=E$11), ROW(tblInputs[Date])-MIN(ROW(tblInputs[Date]))+1), ROW(D2)),1),""))</f>
        <v/>
      </c>
      <c r="F13" s="73" t="str">
        <f t="array" ref="F13">IF(OR(F$11="",COUNTA(tblInputs[Date])&lt;1),"",IFERROR(INDEX(tblInputs[Event Description],LARGE(IF((tblInputs[Date]=F$11), ROW(tblInputs[Date])-MIN(ROW(tblInputs[Date]))+1), ROW(E2)),1),""))</f>
        <v/>
      </c>
      <c r="G13" s="73" t="str">
        <f t="array" ref="G13">IF(OR(G$11="",COUNTA(tblInputs[Date])&lt;1),"",IFERROR(INDEX(tblInputs[Event Description],LARGE(IF((tblInputs[Date]=G$11), ROW(tblInputs[Date])-MIN(ROW(tblInputs[Date]))+1), ROW(F2)),1),""))</f>
        <v/>
      </c>
      <c r="H13" s="73" t="str">
        <f t="array" ref="H13">IF(OR(H$11="",COUNTA(tblInputs[Date])&lt;1),"",IFERROR(INDEX(tblInputs[Event Description],LARGE(IF((tblInputs[Date]=H$11), ROW(tblInputs[Date])-MIN(ROW(tblInputs[Date]))+1), ROW(G2)),1),""))</f>
        <v/>
      </c>
      <c r="M13" s="80">
        <v>45755</v>
      </c>
      <c r="N13" s="82" t="s">
        <v>377</v>
      </c>
      <c r="O13" s="81" t="s">
        <v>378</v>
      </c>
      <c r="S13" s="56" t="s">
        <v>313</v>
      </c>
    </row>
    <row r="14" spans="2:19" s="56" customFormat="1" x14ac:dyDescent="0.25">
      <c r="B14" s="73" t="str">
        <f t="array" ref="B14">IF(OR(B$11="",COUNTA(tblInputs[Date])&lt;1),"",IFERROR(INDEX(tblInputs[Event Description],LARGE(IF((tblInputs[Date]=B$11), ROW(tblInputs[Date])-MIN(ROW(tblInputs[Date]))+1), ROW(A3)),1),""))</f>
        <v/>
      </c>
      <c r="C14" s="73" t="str">
        <f t="array" ref="C14">IF(OR(C$11="",COUNTA(tblInputs[Date])&lt;1),"",IFERROR(INDEX(tblInputs[Event Description],LARGE(IF((tblInputs[Date]=C$11), ROW(tblInputs[Date])-MIN(ROW(tblInputs[Date]))+1), ROW(B3)),1),""))</f>
        <v/>
      </c>
      <c r="D14" s="73" t="str">
        <f t="array" ref="D14">IF(OR(D$11="",COUNTA(tblInputs[Date])&lt;1),"",IFERROR(INDEX(tblInputs[Event Description],LARGE(IF((tblInputs[Date]=D$11), ROW(tblInputs[Date])-MIN(ROW(tblInputs[Date]))+1), ROW(C3)),1),""))</f>
        <v/>
      </c>
      <c r="E14" s="73" t="str">
        <f t="array" ref="E14">IF(OR(E$11="",COUNTA(tblInputs[Date])&lt;1),"",IFERROR(INDEX(tblInputs[Event Description],LARGE(IF((tblInputs[Date]=E$11), ROW(tblInputs[Date])-MIN(ROW(tblInputs[Date]))+1), ROW(D3)),1),""))</f>
        <v/>
      </c>
      <c r="F14" s="73" t="str">
        <f t="array" ref="F14">IF(OR(F$11="",COUNTA(tblInputs[Date])&lt;1),"",IFERROR(INDEX(tblInputs[Event Description],LARGE(IF((tblInputs[Date]=F$11), ROW(tblInputs[Date])-MIN(ROW(tblInputs[Date]))+1), ROW(E3)),1),""))</f>
        <v/>
      </c>
      <c r="G14" s="73" t="str">
        <f t="array" ref="G14">IF(OR(G$11="",COUNTA(tblInputs[Date])&lt;1),"",IFERROR(INDEX(tblInputs[Event Description],LARGE(IF((tblInputs[Date]=G$11), ROW(tblInputs[Date])-MIN(ROW(tblInputs[Date]))+1), ROW(F3)),1),""))</f>
        <v/>
      </c>
      <c r="H14" s="73" t="str">
        <f t="array" ref="H14">IF(OR(H$11="",COUNTA(tblInputs[Date])&lt;1),"",IFERROR(INDEX(tblInputs[Event Description],LARGE(IF((tblInputs[Date]=H$11), ROW(tblInputs[Date])-MIN(ROW(tblInputs[Date]))+1), ROW(G3)),1),""))</f>
        <v/>
      </c>
      <c r="M14" s="80"/>
      <c r="N14" s="95"/>
      <c r="O14" s="81"/>
      <c r="S14" s="56" t="s">
        <v>314</v>
      </c>
    </row>
    <row r="15" spans="2:19" s="56" customFormat="1" x14ac:dyDescent="0.25">
      <c r="B15" s="73" t="str">
        <f t="array" ref="B15">IF(OR(B$11="",COUNTA(tblInputs[Date])&lt;1),"",IFERROR(INDEX(tblInputs[Event Description],LARGE(IF((tblInputs[Date]=B$11), ROW(tblInputs[Date])-MIN(ROW(tblInputs[Date]))+1), ROW(A4)),1),""))</f>
        <v/>
      </c>
      <c r="C15" s="73" t="str">
        <f t="array" ref="C15">IF(OR(C$11="",COUNTA(tblInputs[Date])&lt;1),"",IFERROR(INDEX(tblInputs[Event Description],LARGE(IF((tblInputs[Date]=C$11), ROW(tblInputs[Date])-MIN(ROW(tblInputs[Date]))+1), ROW(B4)),1),""))</f>
        <v/>
      </c>
      <c r="D15" s="73" t="str">
        <f t="array" ref="D15">IF(OR(D$11="",COUNTA(tblInputs[Date])&lt;1),"",IFERROR(INDEX(tblInputs[Event Description],LARGE(IF((tblInputs[Date]=D$11), ROW(tblInputs[Date])-MIN(ROW(tblInputs[Date]))+1), ROW(C4)),1),""))</f>
        <v/>
      </c>
      <c r="E15" s="73" t="str">
        <f t="array" ref="E15">IF(OR(E$11="",COUNTA(tblInputs[Date])&lt;1),"",IFERROR(INDEX(tblInputs[Event Description],LARGE(IF((tblInputs[Date]=E$11), ROW(tblInputs[Date])-MIN(ROW(tblInputs[Date]))+1), ROW(D4)),1),""))</f>
        <v/>
      </c>
      <c r="F15" s="73" t="str">
        <f t="array" ref="F15">IF(OR(F$11="",COUNTA(tblInputs[Date])&lt;1),"",IFERROR(INDEX(tblInputs[Event Description],LARGE(IF((tblInputs[Date]=F$11), ROW(tblInputs[Date])-MIN(ROW(tblInputs[Date]))+1), ROW(E4)),1),""))</f>
        <v/>
      </c>
      <c r="G15" s="73" t="str">
        <f t="array" ref="G15">IF(OR(G$11="",COUNTA(tblInputs[Date])&lt;1),"",IFERROR(INDEX(tblInputs[Event Description],LARGE(IF((tblInputs[Date]=G$11), ROW(tblInputs[Date])-MIN(ROW(tblInputs[Date]))+1), ROW(F4)),1),""))</f>
        <v/>
      </c>
      <c r="H15" s="73" t="str">
        <f t="array" ref="H15">IF(OR(H$11="",COUNTA(tblInputs[Date])&lt;1),"",IFERROR(INDEX(tblInputs[Event Description],LARGE(IF((tblInputs[Date]=H$11), ROW(tblInputs[Date])-MIN(ROW(tblInputs[Date]))+1), ROW(G4)),1),""))</f>
        <v/>
      </c>
      <c r="M15" s="80"/>
      <c r="N15" s="95"/>
      <c r="O15" s="81"/>
      <c r="S15" s="56" t="s">
        <v>315</v>
      </c>
    </row>
    <row r="16" spans="2:19" s="56" customFormat="1" x14ac:dyDescent="0.25">
      <c r="B16" s="73" t="str">
        <f t="array" ref="B16">IF(OR(B$11="",COUNTA(tblInputs[Date])&lt;1),"",IFERROR(INDEX(tblInputs[Event Description],LARGE(IF((tblInputs[Date]=B$11), ROW(tblInputs[Date])-MIN(ROW(tblInputs[Date]))+1), ROW(A5)),1),""))</f>
        <v/>
      </c>
      <c r="C16" s="73" t="str">
        <f t="array" ref="C16">IF(OR(C$11="",COUNTA(tblInputs[Date])&lt;1),"",IFERROR(INDEX(tblInputs[Event Description],LARGE(IF((tblInputs[Date]=C$11), ROW(tblInputs[Date])-MIN(ROW(tblInputs[Date]))+1), ROW(B5)),1),""))</f>
        <v/>
      </c>
      <c r="D16" s="73" t="str">
        <f t="array" ref="D16">IF(OR(D$11="",COUNTA(tblInputs[Date])&lt;1),"",IFERROR(INDEX(tblInputs[Event Description],LARGE(IF((tblInputs[Date]=D$11), ROW(tblInputs[Date])-MIN(ROW(tblInputs[Date]))+1), ROW(C5)),1),""))</f>
        <v/>
      </c>
      <c r="E16" s="73" t="str">
        <f t="array" ref="E16">IF(OR(E$11="",COUNTA(tblInputs[Date])&lt;1),"",IFERROR(INDEX(tblInputs[Event Description],LARGE(IF((tblInputs[Date]=E$11), ROW(tblInputs[Date])-MIN(ROW(tblInputs[Date]))+1), ROW(D5)),1),""))</f>
        <v/>
      </c>
      <c r="F16" s="73" t="str">
        <f t="array" ref="F16">IF(OR(F$11="",COUNTA(tblInputs[Date])&lt;1),"",IFERROR(INDEX(tblInputs[Event Description],LARGE(IF((tblInputs[Date]=F$11), ROW(tblInputs[Date])-MIN(ROW(tblInputs[Date]))+1), ROW(E5)),1),""))</f>
        <v/>
      </c>
      <c r="G16" s="73" t="str">
        <f t="array" ref="G16">IF(OR(G$11="",COUNTA(tblInputs[Date])&lt;1),"",IFERROR(INDEX(tblInputs[Event Description],LARGE(IF((tblInputs[Date]=G$11), ROW(tblInputs[Date])-MIN(ROW(tblInputs[Date]))+1), ROW(F5)),1),""))</f>
        <v/>
      </c>
      <c r="H16" s="73" t="str">
        <f t="array" ref="H16">IF(OR(H$11="",COUNTA(tblInputs[Date])&lt;1),"",IFERROR(INDEX(tblInputs[Event Description],LARGE(IF((tblInputs[Date]=H$11), ROW(tblInputs[Date])-MIN(ROW(tblInputs[Date]))+1), ROW(G5)),1),""))</f>
        <v/>
      </c>
      <c r="M16" s="80"/>
      <c r="N16" s="95"/>
      <c r="O16" s="81"/>
    </row>
    <row r="17" spans="2:19" x14ac:dyDescent="0.25">
      <c r="B17" s="75">
        <f>IF(H11="","",IF((H11+1)&gt;lastday,"",H11+1))</f>
        <v>45760</v>
      </c>
      <c r="C17" s="75">
        <f t="shared" ref="C17:H17" si="2">IF(B17="","",IF((B17+1)&gt;lastday,"",B17+1))</f>
        <v>45761</v>
      </c>
      <c r="D17" s="75">
        <f t="shared" si="2"/>
        <v>45762</v>
      </c>
      <c r="E17" s="75">
        <f t="shared" si="2"/>
        <v>45763</v>
      </c>
      <c r="F17" s="75">
        <f t="shared" si="2"/>
        <v>45764</v>
      </c>
      <c r="G17" s="75">
        <f t="shared" si="2"/>
        <v>45765</v>
      </c>
      <c r="H17" s="75">
        <f t="shared" si="2"/>
        <v>45766</v>
      </c>
      <c r="M17" s="80"/>
      <c r="N17" s="95"/>
      <c r="O17" s="81"/>
    </row>
    <row r="18" spans="2:19" s="56" customFormat="1" x14ac:dyDescent="0.25">
      <c r="B18" s="73" t="str">
        <f t="array" ref="B18">IF(OR(B$17="",COUNTA(tblInputs[Date])&lt;1),"",IFERROR(INDEX(tblInputs[Event Description],LARGE(IF((tblInputs[Date]=B$17), ROW(tblInputs[Date])-MIN(ROW(tblInputs[Date]))+1), ROW(A1)),1),""))</f>
        <v/>
      </c>
      <c r="C18" s="73" t="str">
        <f t="array" ref="C18">IF(OR(C$17="",COUNTA(tblInputs[Date])&lt;1),"",IFERROR(INDEX(tblInputs[Event Description],LARGE(IF((tblInputs[Date]=C$17), ROW(tblInputs[Date])-MIN(ROW(tblInputs[Date]))+1), ROW(B1)),1),""))</f>
        <v/>
      </c>
      <c r="D18" s="73" t="str">
        <f t="array" ref="D18">IF(OR(D$17="",COUNTA(tblInputs[Date])&lt;1),"",IFERROR(INDEX(tblInputs[Event Description],LARGE(IF((tblInputs[Date]=D$17), ROW(tblInputs[Date])-MIN(ROW(tblInputs[Date]))+1), ROW(C1)),1),""))</f>
        <v/>
      </c>
      <c r="E18" s="73" t="str">
        <f t="array" ref="E18">IF(OR(E$17="",COUNTA(tblInputs[Date])&lt;1),"",IFERROR(INDEX(tblInputs[Event Description],LARGE(IF((tblInputs[Date]=E$17), ROW(tblInputs[Date])-MIN(ROW(tblInputs[Date]))+1), ROW(D1)),1),""))</f>
        <v/>
      </c>
      <c r="F18" s="73" t="str">
        <f t="array" ref="F18">IF(OR(F$17="",COUNTA(tblInputs[Date])&lt;1),"",IFERROR(INDEX(tblInputs[Event Description],LARGE(IF((tblInputs[Date]=F$17), ROW(tblInputs[Date])-MIN(ROW(tblInputs[Date]))+1), ROW(E1)),1),""))</f>
        <v/>
      </c>
      <c r="G18" s="73" t="str">
        <f t="array" ref="G18">IF(OR(G$17="",COUNTA(tblInputs[Date])&lt;1),"",IFERROR(INDEX(tblInputs[Event Description],LARGE(IF((tblInputs[Date]=G$17), ROW(tblInputs[Date])-MIN(ROW(tblInputs[Date]))+1), ROW(F1)),1),""))</f>
        <v/>
      </c>
      <c r="H18" s="73" t="str">
        <f t="array" ref="H18">IF(OR(H$17="",COUNTA(tblInputs[Date])&lt;1),"",IFERROR(INDEX(tblInputs[Event Description],LARGE(IF((tblInputs[Date]=H$17), ROW(tblInputs[Date])-MIN(ROW(tblInputs[Date]))+1), ROW(G1)),1),""))</f>
        <v/>
      </c>
      <c r="M18" s="80"/>
      <c r="N18" s="95"/>
      <c r="O18" s="81"/>
      <c r="R18" s="76">
        <v>0</v>
      </c>
      <c r="S18" s="56" t="e">
        <f t="array" ref="S18">#REF!</f>
        <v>#REF!</v>
      </c>
    </row>
    <row r="19" spans="2:19" s="56" customFormat="1" x14ac:dyDescent="0.25">
      <c r="B19" s="73" t="str">
        <f t="array" ref="B19">IF(OR(B$17="",COUNTA(tblInputs[Date])&lt;1),"",IFERROR(INDEX(tblInputs[Event Description],LARGE(IF((tblInputs[Date]=B$17), ROW(tblInputs[Date])-MIN(ROW(tblInputs[Date]))+1), ROW(A2)),1),""))</f>
        <v/>
      </c>
      <c r="C19" s="73" t="str">
        <f t="array" ref="C19">IF(OR(C$17="",COUNTA(tblInputs[Date])&lt;1),"",IFERROR(INDEX(tblInputs[Event Description],LARGE(IF((tblInputs[Date]=C$17), ROW(tblInputs[Date])-MIN(ROW(tblInputs[Date]))+1), ROW(B2)),1),""))</f>
        <v/>
      </c>
      <c r="D19" s="73" t="str">
        <f t="array" ref="D19">IF(OR(D$17="",COUNTA(tblInputs[Date])&lt;1),"",IFERROR(INDEX(tblInputs[Event Description],LARGE(IF((tblInputs[Date]=D$17), ROW(tblInputs[Date])-MIN(ROW(tblInputs[Date]))+1), ROW(C2)),1),""))</f>
        <v/>
      </c>
      <c r="E19" s="73" t="str">
        <f t="array" ref="E19">IF(OR(E$17="",COUNTA(tblInputs[Date])&lt;1),"",IFERROR(INDEX(tblInputs[Event Description],LARGE(IF((tblInputs[Date]=E$17), ROW(tblInputs[Date])-MIN(ROW(tblInputs[Date]))+1), ROW(D2)),1),""))</f>
        <v/>
      </c>
      <c r="F19" s="73" t="str">
        <f t="array" ref="F19">IF(OR(F$17="",COUNTA(tblInputs[Date])&lt;1),"",IFERROR(INDEX(tblInputs[Event Description],LARGE(IF((tblInputs[Date]=F$17), ROW(tblInputs[Date])-MIN(ROW(tblInputs[Date]))+1), ROW(E2)),1),""))</f>
        <v/>
      </c>
      <c r="G19" s="73" t="str">
        <f t="array" ref="G19">IF(OR(G$17="",COUNTA(tblInputs[Date])&lt;1),"",IFERROR(INDEX(tblInputs[Event Description],LARGE(IF((tblInputs[Date]=G$17), ROW(tblInputs[Date])-MIN(ROW(tblInputs[Date]))+1), ROW(F2)),1),""))</f>
        <v/>
      </c>
      <c r="H19" s="73" t="str">
        <f t="array" ref="H19">IF(OR(H$17="",COUNTA(tblInputs[Date])&lt;1),"",IFERROR(INDEX(tblInputs[Event Description],LARGE(IF((tblInputs[Date]=H$17), ROW(tblInputs[Date])-MIN(ROW(tblInputs[Date]))+1), ROW(G2)),1),""))</f>
        <v/>
      </c>
      <c r="M19" s="80"/>
      <c r="N19" s="95"/>
      <c r="O19" s="81"/>
    </row>
    <row r="20" spans="2:19" s="56" customFormat="1" x14ac:dyDescent="0.25">
      <c r="B20" s="73" t="str">
        <f t="array" ref="B20">IF(OR(B$17="",COUNTA(tblInputs[Date])&lt;1),"",IFERROR(INDEX(tblInputs[Event Description],LARGE(IF((tblInputs[Date]=B$17), ROW(tblInputs[Date])-MIN(ROW(tblInputs[Date]))+1), ROW(A3)),1),""))</f>
        <v/>
      </c>
      <c r="C20" s="73" t="str">
        <f t="array" ref="C20">IF(OR(C$17="",COUNTA(tblInputs[Date])&lt;1),"",IFERROR(INDEX(tblInputs[Event Description],LARGE(IF((tblInputs[Date]=C$17), ROW(tblInputs[Date])-MIN(ROW(tblInputs[Date]))+1), ROW(B3)),1),""))</f>
        <v/>
      </c>
      <c r="D20" s="73" t="str">
        <f t="array" ref="D20">IF(OR(D$17="",COUNTA(tblInputs[Date])&lt;1),"",IFERROR(INDEX(tblInputs[Event Description],LARGE(IF((tblInputs[Date]=D$17), ROW(tblInputs[Date])-MIN(ROW(tblInputs[Date]))+1), ROW(C3)),1),""))</f>
        <v/>
      </c>
      <c r="E20" s="73" t="str">
        <f t="array" ref="E20">IF(OR(E$17="",COUNTA(tblInputs[Date])&lt;1),"",IFERROR(INDEX(tblInputs[Event Description],LARGE(IF((tblInputs[Date]=E$17), ROW(tblInputs[Date])-MIN(ROW(tblInputs[Date]))+1), ROW(D3)),1),""))</f>
        <v/>
      </c>
      <c r="F20" s="73" t="str">
        <f t="array" ref="F20">IF(OR(F$17="",COUNTA(tblInputs[Date])&lt;1),"",IFERROR(INDEX(tblInputs[Event Description],LARGE(IF((tblInputs[Date]=F$17), ROW(tblInputs[Date])-MIN(ROW(tblInputs[Date]))+1), ROW(E3)),1),""))</f>
        <v/>
      </c>
      <c r="G20" s="73" t="str">
        <f t="array" ref="G20">IF(OR(G$17="",COUNTA(tblInputs[Date])&lt;1),"",IFERROR(INDEX(tblInputs[Event Description],LARGE(IF((tblInputs[Date]=G$17), ROW(tblInputs[Date])-MIN(ROW(tblInputs[Date]))+1), ROW(F3)),1),""))</f>
        <v/>
      </c>
      <c r="H20" s="73" t="str">
        <f t="array" ref="H20">IF(OR(H$17="",COUNTA(tblInputs[Date])&lt;1),"",IFERROR(INDEX(tblInputs[Event Description],LARGE(IF((tblInputs[Date]=H$17), ROW(tblInputs[Date])-MIN(ROW(tblInputs[Date]))+1), ROW(G3)),1),""))</f>
        <v/>
      </c>
      <c r="M20" s="80"/>
      <c r="N20" s="95"/>
      <c r="O20" s="81"/>
    </row>
    <row r="21" spans="2:19" s="56" customFormat="1" x14ac:dyDescent="0.25">
      <c r="B21" s="73" t="str">
        <f t="array" ref="B21">IF(OR(B$17="",COUNTA(tblInputs[Date])&lt;1),"",IFERROR(INDEX(tblInputs[Event Description],LARGE(IF((tblInputs[Date]=B$17), ROW(tblInputs[Date])-MIN(ROW(tblInputs[Date]))+1), ROW(A4)),1),""))</f>
        <v/>
      </c>
      <c r="C21" s="73" t="str">
        <f t="array" ref="C21">IF(OR(C$17="",COUNTA(tblInputs[Date])&lt;1),"",IFERROR(INDEX(tblInputs[Event Description],LARGE(IF((tblInputs[Date]=C$17), ROW(tblInputs[Date])-MIN(ROW(tblInputs[Date]))+1), ROW(B4)),1),""))</f>
        <v/>
      </c>
      <c r="D21" s="73" t="str">
        <f t="array" ref="D21">IF(OR(D$17="",COUNTA(tblInputs[Date])&lt;1),"",IFERROR(INDEX(tblInputs[Event Description],LARGE(IF((tblInputs[Date]=D$17), ROW(tblInputs[Date])-MIN(ROW(tblInputs[Date]))+1), ROW(C4)),1),""))</f>
        <v/>
      </c>
      <c r="E21" s="73" t="str">
        <f t="array" ref="E21">IF(OR(E$17="",COUNTA(tblInputs[Date])&lt;1),"",IFERROR(INDEX(tblInputs[Event Description],LARGE(IF((tblInputs[Date]=E$17), ROW(tblInputs[Date])-MIN(ROW(tblInputs[Date]))+1), ROW(D4)),1),""))</f>
        <v/>
      </c>
      <c r="F21" s="73" t="str">
        <f t="array" ref="F21">IF(OR(F$17="",COUNTA(tblInputs[Date])&lt;1),"",IFERROR(INDEX(tblInputs[Event Description],LARGE(IF((tblInputs[Date]=F$17), ROW(tblInputs[Date])-MIN(ROW(tblInputs[Date]))+1), ROW(E4)),1),""))</f>
        <v/>
      </c>
      <c r="G21" s="73" t="str">
        <f t="array" ref="G21">IF(OR(G$17="",COUNTA(tblInputs[Date])&lt;1),"",IFERROR(INDEX(tblInputs[Event Description],LARGE(IF((tblInputs[Date]=G$17), ROW(tblInputs[Date])-MIN(ROW(tblInputs[Date]))+1), ROW(F4)),1),""))</f>
        <v/>
      </c>
      <c r="H21" s="73" t="str">
        <f t="array" ref="H21">IF(OR(H$17="",COUNTA(tblInputs[Date])&lt;1),"",IFERROR(INDEX(tblInputs[Event Description],LARGE(IF((tblInputs[Date]=H$17), ROW(tblInputs[Date])-MIN(ROW(tblInputs[Date]))+1), ROW(G4)),1),""))</f>
        <v/>
      </c>
      <c r="J21" s="272"/>
      <c r="K21" s="274"/>
      <c r="M21" s="80"/>
      <c r="N21" s="95"/>
      <c r="O21" s="81"/>
    </row>
    <row r="22" spans="2:19" s="56" customFormat="1" x14ac:dyDescent="0.25">
      <c r="B22" s="73" t="str">
        <f t="array" ref="B22">IF(OR(B$17="",COUNTA(tblInputs[Date])&lt;1),"",IFERROR(INDEX(tblInputs[Event Description],LARGE(IF((tblInputs[Date]=B$17), ROW(tblInputs[Date])-MIN(ROW(tblInputs[Date]))+1), ROW(A5)),1),""))</f>
        <v/>
      </c>
      <c r="C22" s="73" t="str">
        <f t="array" ref="C22">IF(OR(C$17="",COUNTA(tblInputs[Date])&lt;1),"",IFERROR(INDEX(tblInputs[Event Description],LARGE(IF((tblInputs[Date]=C$17), ROW(tblInputs[Date])-MIN(ROW(tblInputs[Date]))+1), ROW(B5)),1),""))</f>
        <v/>
      </c>
      <c r="D22" s="73" t="str">
        <f t="array" ref="D22">IF(OR(D$17="",COUNTA(tblInputs[Date])&lt;1),"",IFERROR(INDEX(tblInputs[Event Description],LARGE(IF((tblInputs[Date]=D$17), ROW(tblInputs[Date])-MIN(ROW(tblInputs[Date]))+1), ROW(C5)),1),""))</f>
        <v/>
      </c>
      <c r="E22" s="73" t="str">
        <f t="array" ref="E22">IF(OR(E$17="",COUNTA(tblInputs[Date])&lt;1),"",IFERROR(INDEX(tblInputs[Event Description],LARGE(IF((tblInputs[Date]=E$17), ROW(tblInputs[Date])-MIN(ROW(tblInputs[Date]))+1), ROW(D5)),1),""))</f>
        <v/>
      </c>
      <c r="F22" s="73" t="str">
        <f t="array" ref="F22">IF(OR(F$17="",COUNTA(tblInputs[Date])&lt;1),"",IFERROR(INDEX(tblInputs[Event Description],LARGE(IF((tblInputs[Date]=F$17), ROW(tblInputs[Date])-MIN(ROW(tblInputs[Date]))+1), ROW(E5)),1),""))</f>
        <v/>
      </c>
      <c r="G22" s="73" t="str">
        <f t="array" ref="G22">IF(OR(G$17="",COUNTA(tblInputs[Date])&lt;1),"",IFERROR(INDEX(tblInputs[Event Description],LARGE(IF((tblInputs[Date]=G$17), ROW(tblInputs[Date])-MIN(ROW(tblInputs[Date]))+1), ROW(F5)),1),""))</f>
        <v/>
      </c>
      <c r="H22" s="73" t="str">
        <f t="array" ref="H22">IF(OR(H$17="",COUNTA(tblInputs[Date])&lt;1),"",IFERROR(INDEX(tblInputs[Event Description],LARGE(IF((tblInputs[Date]=H$17), ROW(tblInputs[Date])-MIN(ROW(tblInputs[Date]))+1), ROW(G5)),1),""))</f>
        <v/>
      </c>
      <c r="J22" s="259"/>
      <c r="K22" s="260"/>
      <c r="M22" s="80"/>
      <c r="N22" s="95"/>
      <c r="O22" s="81"/>
    </row>
    <row r="23" spans="2:19" x14ac:dyDescent="0.25">
      <c r="B23" s="75">
        <f>IF(H17="","",IF((H17+1)&gt;lastday,"",H17+1))</f>
        <v>45767</v>
      </c>
      <c r="C23" s="75">
        <f t="shared" ref="C23:H23" si="3">IF(B23="","",IF((B23+1)&gt;lastday,"",B23+1))</f>
        <v>45768</v>
      </c>
      <c r="D23" s="75">
        <f t="shared" si="3"/>
        <v>45769</v>
      </c>
      <c r="E23" s="75">
        <f t="shared" si="3"/>
        <v>45770</v>
      </c>
      <c r="F23" s="75">
        <f t="shared" si="3"/>
        <v>45771</v>
      </c>
      <c r="G23" s="75">
        <f t="shared" si="3"/>
        <v>45772</v>
      </c>
      <c r="H23" s="75">
        <f t="shared" si="3"/>
        <v>45773</v>
      </c>
      <c r="M23" s="80"/>
      <c r="N23" s="95"/>
      <c r="O23" s="81"/>
    </row>
    <row r="24" spans="2:19" s="56" customFormat="1" x14ac:dyDescent="0.25">
      <c r="B24" s="73" t="str">
        <f t="array" ref="B24">IF(OR(B$23="",COUNTA(tblInputs[Date])&lt;1),"",IFERROR(INDEX(tblInputs[Event Description],LARGE(IF((tblInputs[Date]=B$23), ROW(tblInputs[Date])-MIN(ROW(tblInputs[Date]))+1), ROW(A1)),1),""))</f>
        <v/>
      </c>
      <c r="C24" s="73" t="str">
        <f t="array" ref="C24">IF(OR(C$23="",COUNTA(tblInputs[Date])&lt;1),"",IFERROR(INDEX(tblInputs[Event Description],LARGE(IF((tblInputs[Date]=C$23), ROW(tblInputs[Date])-MIN(ROW(tblInputs[Date]))+1), ROW(B1)),1),""))</f>
        <v/>
      </c>
      <c r="D24" s="73" t="str">
        <f t="array" ref="D24">IF(OR(D$23="",COUNTA(tblInputs[Date])&lt;1),"",IFERROR(INDEX(tblInputs[Event Description],LARGE(IF((tblInputs[Date]=D$23), ROW(tblInputs[Date])-MIN(ROW(tblInputs[Date]))+1), ROW(C1)),1),""))</f>
        <v/>
      </c>
      <c r="E24" s="73" t="str">
        <f t="array" ref="E24">IF(OR(E$23="",COUNTA(tblInputs[Date])&lt;1),"",IFERROR(INDEX(tblInputs[Event Description],LARGE(IF((tblInputs[Date]=E$23), ROW(tblInputs[Date])-MIN(ROW(tblInputs[Date]))+1), ROW(D1)),1),""))</f>
        <v/>
      </c>
      <c r="F24" s="73" t="str">
        <f t="array" ref="F24">IF(OR(F$23="",COUNTA(tblInputs[Date])&lt;1),"",IFERROR(INDEX(tblInputs[Event Description],LARGE(IF((tblInputs[Date]=F$23), ROW(tblInputs[Date])-MIN(ROW(tblInputs[Date]))+1), ROW(E1)),1),""))</f>
        <v/>
      </c>
      <c r="G24" s="195" t="str">
        <f t="array" ref="G24">IF(OR(G$23="",COUNTA(tblInputs[Date])&lt;1),"",IFERROR(INDEX(tblInputs[Event Description],LARGE(IF((tblInputs[Date]=G$23), ROW(tblInputs[Date])-MIN(ROW(tblInputs[Date]))+1), ROW(F1)),1),""))</f>
        <v/>
      </c>
      <c r="H24" s="73" t="str">
        <f t="array" ref="H24">IF(OR(H$23="",COUNTA(tblInputs[Date])&lt;1),"",IFERROR(INDEX(tblInputs[Event Description],LARGE(IF((tblInputs[Date]=H$23), ROW(tblInputs[Date])-MIN(ROW(tblInputs[Date]))+1), ROW(G1)),1),""))</f>
        <v/>
      </c>
      <c r="M24" s="80"/>
      <c r="N24" s="95"/>
      <c r="O24" s="81"/>
    </row>
    <row r="25" spans="2:19" s="56" customFormat="1" x14ac:dyDescent="0.25">
      <c r="B25" s="73" t="str">
        <f t="array" ref="B25">IF(OR(B$23="",COUNTA(tblInputs[Date])&lt;1),"",IFERROR(INDEX(tblInputs[Event Description],LARGE(IF((tblInputs[Date]=B$23), ROW(tblInputs[Date])-MIN(ROW(tblInputs[Date]))+1), ROW(A2)),1),""))</f>
        <v/>
      </c>
      <c r="C25" s="73" t="str">
        <f t="array" ref="C25">IF(OR(C$23="",COUNTA(tblInputs[Date])&lt;1),"",IFERROR(INDEX(tblInputs[Event Description],LARGE(IF((tblInputs[Date]=C$23), ROW(tblInputs[Date])-MIN(ROW(tblInputs[Date]))+1), ROW(B2)),1),""))</f>
        <v/>
      </c>
      <c r="D25" s="73" t="str">
        <f t="array" ref="D25">IF(OR(D$23="",COUNTA(tblInputs[Date])&lt;1),"",IFERROR(INDEX(tblInputs[Event Description],LARGE(IF((tblInputs[Date]=D$23), ROW(tblInputs[Date])-MIN(ROW(tblInputs[Date]))+1), ROW(C2)),1),""))</f>
        <v/>
      </c>
      <c r="E25" s="73" t="str">
        <f t="array" ref="E25">IF(OR(E$23="",COUNTA(tblInputs[Date])&lt;1),"",IFERROR(INDEX(tblInputs[Event Description],LARGE(IF((tblInputs[Date]=E$23), ROW(tblInputs[Date])-MIN(ROW(tblInputs[Date]))+1), ROW(D2)),1),""))</f>
        <v/>
      </c>
      <c r="F25" s="73" t="str">
        <f t="array" ref="F25">IF(OR(F$23="",COUNTA(tblInputs[Date])&lt;1),"",IFERROR(INDEX(tblInputs[Event Description],LARGE(IF((tblInputs[Date]=F$23), ROW(tblInputs[Date])-MIN(ROW(tblInputs[Date]))+1), ROW(E2)),1),""))</f>
        <v/>
      </c>
      <c r="G25" s="73" t="str">
        <f t="array" ref="G25">IF(OR(G$23="",COUNTA(tblInputs[Date])&lt;1),"",IFERROR(INDEX(tblInputs[Event Description],LARGE(IF((tblInputs[Date]=G$23), ROW(tblInputs[Date])-MIN(ROW(tblInputs[Date]))+1), ROW(F2)),1),""))</f>
        <v/>
      </c>
      <c r="H25" s="73" t="str">
        <f t="array" ref="H25">IF(OR(H$23="",COUNTA(tblInputs[Date])&lt;1),"",IFERROR(INDEX(tblInputs[Event Description],LARGE(IF((tblInputs[Date]=H$23), ROW(tblInputs[Date])-MIN(ROW(tblInputs[Date]))+1), ROW(G2)),1),""))</f>
        <v/>
      </c>
      <c r="M25" s="80"/>
      <c r="N25" s="95"/>
      <c r="O25" s="81"/>
    </row>
    <row r="26" spans="2:19" s="56" customFormat="1" x14ac:dyDescent="0.25">
      <c r="B26" s="73" t="str">
        <f t="array" ref="B26">IF(OR(B$23="",COUNTA(tblInputs[Date])&lt;1),"",IFERROR(INDEX(tblInputs[Event Description],LARGE(IF((tblInputs[Date]=B$23), ROW(tblInputs[Date])-MIN(ROW(tblInputs[Date]))+1), ROW(A3)),1),""))</f>
        <v/>
      </c>
      <c r="C26" s="73" t="str">
        <f t="array" ref="C26">IF(OR(C$23="",COUNTA(tblInputs[Date])&lt;1),"",IFERROR(INDEX(tblInputs[Event Description],LARGE(IF((tblInputs[Date]=C$23), ROW(tblInputs[Date])-MIN(ROW(tblInputs[Date]))+1), ROW(B3)),1),""))</f>
        <v/>
      </c>
      <c r="D26" s="73" t="str">
        <f t="array" ref="D26">IF(OR(D$23="",COUNTA(tblInputs[Date])&lt;1),"",IFERROR(INDEX(tblInputs[Event Description],LARGE(IF((tblInputs[Date]=D$23), ROW(tblInputs[Date])-MIN(ROW(tblInputs[Date]))+1), ROW(C3)),1),""))</f>
        <v/>
      </c>
      <c r="E26" s="73" t="str">
        <f t="array" ref="E26">IF(OR(E$23="",COUNTA(tblInputs[Date])&lt;1),"",IFERROR(INDEX(tblInputs[Event Description],LARGE(IF((tblInputs[Date]=E$23), ROW(tblInputs[Date])-MIN(ROW(tblInputs[Date]))+1), ROW(D3)),1),""))</f>
        <v/>
      </c>
      <c r="F26" s="73" t="str">
        <f t="array" ref="F26">IF(OR(F$23="",COUNTA(tblInputs[Date])&lt;1),"",IFERROR(INDEX(tblInputs[Event Description],LARGE(IF((tblInputs[Date]=F$23), ROW(tblInputs[Date])-MIN(ROW(tblInputs[Date]))+1), ROW(E3)),1),""))</f>
        <v/>
      </c>
      <c r="G26" s="73" t="str">
        <f t="array" ref="G26">IF(OR(G$23="",COUNTA(tblInputs[Date])&lt;1),"",IFERROR(INDEX(tblInputs[Event Description],LARGE(IF((tblInputs[Date]=G$23), ROW(tblInputs[Date])-MIN(ROW(tblInputs[Date]))+1), ROW(F3)),1),""))</f>
        <v/>
      </c>
      <c r="H26" s="73" t="str">
        <f t="array" ref="H26">IF(OR(H$23="",COUNTA(tblInputs[Date])&lt;1),"",IFERROR(INDEX(tblInputs[Event Description],LARGE(IF((tblInputs[Date]=H$23), ROW(tblInputs[Date])-MIN(ROW(tblInputs[Date]))+1), ROW(G3)),1),""))</f>
        <v/>
      </c>
      <c r="M26" s="80"/>
      <c r="N26" s="95"/>
      <c r="O26" s="81"/>
    </row>
    <row r="27" spans="2:19" s="56" customFormat="1" x14ac:dyDescent="0.25">
      <c r="B27" s="73" t="str">
        <f t="array" ref="B27">IF(OR(B$23="",COUNTA(tblInputs[Date])&lt;1),"",IFERROR(INDEX(tblInputs[Event Description],LARGE(IF((tblInputs[Date]=B$23), ROW(tblInputs[Date])-MIN(ROW(tblInputs[Date]))+1), ROW(A4)),1),""))</f>
        <v/>
      </c>
      <c r="C27" s="73" t="str">
        <f t="array" ref="C27">IF(OR(C$23="",COUNTA(tblInputs[Date])&lt;1),"",IFERROR(INDEX(tblInputs[Event Description],LARGE(IF((tblInputs[Date]=C$23), ROW(tblInputs[Date])-MIN(ROW(tblInputs[Date]))+1), ROW(B4)),1),""))</f>
        <v/>
      </c>
      <c r="D27" s="73" t="str">
        <f t="array" ref="D27">IF(OR(D$23="",COUNTA(tblInputs[Date])&lt;1),"",IFERROR(INDEX(tblInputs[Event Description],LARGE(IF((tblInputs[Date]=D$23), ROW(tblInputs[Date])-MIN(ROW(tblInputs[Date]))+1), ROW(C4)),1),""))</f>
        <v/>
      </c>
      <c r="E27" s="73" t="str">
        <f t="array" ref="E27">IF(OR(E$23="",COUNTA(tblInputs[Date])&lt;1),"",IFERROR(INDEX(tblInputs[Event Description],LARGE(IF((tblInputs[Date]=E$23), ROW(tblInputs[Date])-MIN(ROW(tblInputs[Date]))+1), ROW(D4)),1),""))</f>
        <v/>
      </c>
      <c r="F27" s="73" t="str">
        <f t="array" ref="F27">IF(OR(F$23="",COUNTA(tblInputs[Date])&lt;1),"",IFERROR(INDEX(tblInputs[Event Description],LARGE(IF((tblInputs[Date]=F$23), ROW(tblInputs[Date])-MIN(ROW(tblInputs[Date]))+1), ROW(E4)),1),""))</f>
        <v/>
      </c>
      <c r="G27" s="73" t="str" cm="1">
        <f t="array" ref="G27">IF(OR(G$23="",COUNTA(tblInputs[Date])&lt;1),"",IFERROR(INDEX(tblInputs[Event Description],LARGE(IF((tblInputs[Date]=G$23), ROW(tblInputs[Date])-MIN(ROW(tblInputs[Date]))+1), ROW(F4)),1),""))</f>
        <v/>
      </c>
      <c r="H27" s="73" t="str">
        <f t="array" ref="H27">IF(OR(H$23="",COUNTA(tblInputs[Date])&lt;1),"",IFERROR(INDEX(tblInputs[Event Description],LARGE(IF((tblInputs[Date]=H$23), ROW(tblInputs[Date])-MIN(ROW(tblInputs[Date]))+1), ROW(G4)),1),""))</f>
        <v/>
      </c>
      <c r="M27" s="80"/>
      <c r="N27" s="95"/>
      <c r="O27" s="81"/>
    </row>
    <row r="28" spans="2:19" s="56" customFormat="1" x14ac:dyDescent="0.25">
      <c r="B28" s="73" t="str">
        <f t="array" ref="B28">IF(OR(B$23="",COUNTA(tblInputs[Date])&lt;1),"",IFERROR(INDEX(tblInputs[Event Description],LARGE(IF((tblInputs[Date]=B$23), ROW(tblInputs[Date])-MIN(ROW(tblInputs[Date]))+1), ROW(A5)),1),""))</f>
        <v/>
      </c>
      <c r="C28" s="73" t="str">
        <f t="array" ref="C28">IF(OR(C$23="",COUNTA(tblInputs[Date])&lt;1),"",IFERROR(INDEX(tblInputs[Event Description],LARGE(IF((tblInputs[Date]=C$23), ROW(tblInputs[Date])-MIN(ROW(tblInputs[Date]))+1), ROW(B5)),1),""))</f>
        <v/>
      </c>
      <c r="D28" s="73" t="str">
        <f t="array" ref="D28">IF(OR(D$23="",COUNTA(tblInputs[Date])&lt;1),"",IFERROR(INDEX(tblInputs[Event Description],LARGE(IF((tblInputs[Date]=D$23), ROW(tblInputs[Date])-MIN(ROW(tblInputs[Date]))+1), ROW(C5)),1),""))</f>
        <v/>
      </c>
      <c r="E28" s="73" t="str">
        <f t="array" ref="E28">IF(OR(E$23="",COUNTA(tblInputs[Date])&lt;1),"",IFERROR(INDEX(tblInputs[Event Description],LARGE(IF((tblInputs[Date]=E$23), ROW(tblInputs[Date])-MIN(ROW(tblInputs[Date]))+1), ROW(D5)),1),""))</f>
        <v/>
      </c>
      <c r="F28" s="73" t="str">
        <f t="array" ref="F28">IF(OR(F$23="",COUNTA(tblInputs[Date])&lt;1),"",IFERROR(INDEX(tblInputs[Event Description],LARGE(IF((tblInputs[Date]=F$23), ROW(tblInputs[Date])-MIN(ROW(tblInputs[Date]))+1), ROW(E5)),1),""))</f>
        <v/>
      </c>
      <c r="G28" s="73" t="str">
        <f t="array" ref="G28">IF(OR(G$23="",COUNTA(tblInputs[Date])&lt;1),"",IFERROR(INDEX(tblInputs[Event Description],LARGE(IF((tblInputs[Date]=G$23), ROW(tblInputs[Date])-MIN(ROW(tblInputs[Date]))+1), ROW(F5)),1),""))</f>
        <v/>
      </c>
      <c r="H28" s="73" t="str">
        <f t="array" ref="H28">IF(OR(H$23="",COUNTA(tblInputs[Date])&lt;1),"",IFERROR(INDEX(tblInputs[Event Description],LARGE(IF((tblInputs[Date]=H$23), ROW(tblInputs[Date])-MIN(ROW(tblInputs[Date]))+1), ROW(G5)),1),""))</f>
        <v/>
      </c>
      <c r="M28" s="80"/>
      <c r="N28" s="95"/>
      <c r="O28" s="81"/>
    </row>
    <row r="29" spans="2:19" x14ac:dyDescent="0.25">
      <c r="B29" s="75">
        <f>IF(H23="","",IF((H23+1)&gt;lastday,"",H23+1))</f>
        <v>45774</v>
      </c>
      <c r="C29" s="75">
        <f t="shared" ref="C29:H29" si="4">IF(B29="","",IF((B29+1)&gt;lastday,"",B29+1))</f>
        <v>45775</v>
      </c>
      <c r="D29" s="75">
        <f t="shared" si="4"/>
        <v>45776</v>
      </c>
      <c r="E29" s="75">
        <f t="shared" si="4"/>
        <v>45777</v>
      </c>
      <c r="F29" s="75" t="str">
        <f t="shared" si="4"/>
        <v/>
      </c>
      <c r="G29" s="75" t="str">
        <f t="shared" si="4"/>
        <v/>
      </c>
      <c r="H29" s="75" t="str">
        <f t="shared" si="4"/>
        <v/>
      </c>
      <c r="M29" s="80"/>
      <c r="N29" s="95"/>
      <c r="O29" s="81"/>
    </row>
    <row r="30" spans="2:19" s="56" customFormat="1" x14ac:dyDescent="0.25">
      <c r="B30" s="73" t="str">
        <f t="array" ref="B30">IF(OR(B$29="",COUNTA(tblInputs[Date])&lt;1),"",IFERROR(INDEX(tblInputs[Event Description],LARGE(IF((tblInputs[Date]=B$29), ROW(tblInputs[Date])-MIN(ROW(tblInputs[Date]))+1), ROW(A1)),1),""))</f>
        <v/>
      </c>
      <c r="C30" s="73" t="str" cm="1">
        <f t="array" ref="C30">IF(OR(C$29="",COUNTA(tblInputs[Date])&lt;1),"",IFERROR(INDEX(tblInputs[Event Description],LARGE(IF((tblInputs[Date]=C$29), ROW(tblInputs[Date])-MIN(ROW(tblInputs[Date]))+1), ROW(B1)),1),""))</f>
        <v/>
      </c>
      <c r="D30" s="73" t="str">
        <f t="array" ref="D30">IF(OR(D$29="",COUNTA(tblInputs[Date])&lt;1),"",IFERROR(INDEX(tblInputs[Event Description],LARGE(IF((tblInputs[Date]=D$29), ROW(tblInputs[Date])-MIN(ROW(tblInputs[Date]))+1), ROW(C1)),1),""))</f>
        <v/>
      </c>
      <c r="E30" s="73" t="str">
        <f t="array" ref="E30">IF(OR(E$29="",COUNTA(tblInputs[Date])&lt;1),"",IFERROR(INDEX(tblInputs[Event Description],LARGE(IF((tblInputs[Date]=E$29), ROW(tblInputs[Date])-MIN(ROW(tblInputs[Date]))+1), ROW(D1)),1),""))</f>
        <v/>
      </c>
      <c r="F30" s="73" t="str">
        <f t="array" ref="F30">IF(OR(F$29="",COUNTA(tblInputs[Date])&lt;1),"",IFERROR(INDEX(tblInputs[Event Description],LARGE(IF((tblInputs[Date]=F$29), ROW(tblInputs[Date])-MIN(ROW(tblInputs[Date]))+1), ROW(E1)),1),""))</f>
        <v/>
      </c>
      <c r="G30" s="73" t="str">
        <f t="array" ref="G30">IF(OR(G$29="",COUNTA(tblInputs[Date])&lt;1),"",IFERROR(INDEX(tblInputs[Event Description],LARGE(IF((tblInputs[Date]=G$29), ROW(tblInputs[Date])-MIN(ROW(tblInputs[Date]))+1), ROW(F1)),1),""))</f>
        <v/>
      </c>
      <c r="H30" s="73" t="str">
        <f t="array" ref="H30">IF(OR(H$29="",COUNTA(tblInputs[Date])&lt;1),"",IFERROR(INDEX(tblInputs[Event Description],LARGE(IF((tblInputs[Date]=H$29), ROW(tblInputs[Date])-MIN(ROW(tblInputs[Date]))+1), ROW(G1)),1),""))</f>
        <v/>
      </c>
      <c r="M30" s="80"/>
      <c r="N30" s="95"/>
      <c r="O30" s="81"/>
    </row>
    <row r="31" spans="2:19" s="56" customFormat="1" x14ac:dyDescent="0.25">
      <c r="B31" s="73" t="str">
        <f t="array" ref="B31">IF(OR(B$29="",COUNTA(tblInputs[Date])&lt;1),"",IFERROR(INDEX(tblInputs[Event Description],LARGE(IF((tblInputs[Date]=B$29), ROW(tblInputs[Date])-MIN(ROW(tblInputs[Date]))+1), ROW(A2)),1),""))</f>
        <v/>
      </c>
      <c r="C31" s="73" t="str">
        <f t="array" ref="C31">IF(OR(C$29="",COUNTA(tblInputs[Date])&lt;1),"",IFERROR(INDEX(tblInputs[Event Description],LARGE(IF((tblInputs[Date]=C$29), ROW(tblInputs[Date])-MIN(ROW(tblInputs[Date]))+1), ROW(B2)),1),""))</f>
        <v/>
      </c>
      <c r="D31" s="73" t="str">
        <f t="array" ref="D31">IF(OR(D$29="",COUNTA(tblInputs[Date])&lt;1),"",IFERROR(INDEX(tblInputs[Event Description],LARGE(IF((tblInputs[Date]=D$29), ROW(tblInputs[Date])-MIN(ROW(tblInputs[Date]))+1), ROW(C2)),1),""))</f>
        <v/>
      </c>
      <c r="E31" s="73" t="str">
        <f t="array" ref="E31">IF(OR(E$29="",COUNTA(tblInputs[Date])&lt;1),"",IFERROR(INDEX(tblInputs[Event Description],LARGE(IF((tblInputs[Date]=E$29), ROW(tblInputs[Date])-MIN(ROW(tblInputs[Date]))+1), ROW(D2)),1),""))</f>
        <v/>
      </c>
      <c r="F31" s="73" t="str">
        <f t="array" ref="F31">IF(OR(F$29="",COUNTA(tblInputs[Date])&lt;1),"",IFERROR(INDEX(tblInputs[Event Description],LARGE(IF((tblInputs[Date]=F$29), ROW(tblInputs[Date])-MIN(ROW(tblInputs[Date]))+1), ROW(E2)),1),""))</f>
        <v/>
      </c>
      <c r="G31" s="73" t="str">
        <f t="array" ref="G31">IF(OR(G$29="",COUNTA(tblInputs[Date])&lt;1),"",IFERROR(INDEX(tblInputs[Event Description],LARGE(IF((tblInputs[Date]=G$29), ROW(tblInputs[Date])-MIN(ROW(tblInputs[Date]))+1), ROW(F2)),1),""))</f>
        <v/>
      </c>
      <c r="H31" s="73" t="str">
        <f t="array" ref="H31">IF(OR(H$29="",COUNTA(tblInputs[Date])&lt;1),"",IFERROR(INDEX(tblInputs[Event Description],LARGE(IF((tblInputs[Date]=H$29), ROW(tblInputs[Date])-MIN(ROW(tblInputs[Date]))+1), ROW(G2)),1),""))</f>
        <v/>
      </c>
      <c r="M31" s="80"/>
      <c r="N31" s="95"/>
      <c r="O31" s="81"/>
    </row>
    <row r="32" spans="2:19" s="56" customFormat="1" x14ac:dyDescent="0.25">
      <c r="B32" s="73" t="str">
        <f t="array" ref="B32">IF(OR(B$29="",COUNTA(tblInputs[Date])&lt;1),"",IFERROR(INDEX(tblInputs[Event Description],LARGE(IF((tblInputs[Date]=B$29), ROW(tblInputs[Date])-MIN(ROW(tblInputs[Date]))+1), ROW(A3)),1),""))</f>
        <v/>
      </c>
      <c r="C32" s="73" t="str">
        <f t="array" ref="C32">IF(OR(C$29="",COUNTA(tblInputs[Date])&lt;1),"",IFERROR(INDEX(tblInputs[Event Description],LARGE(IF((tblInputs[Date]=C$29), ROW(tblInputs[Date])-MIN(ROW(tblInputs[Date]))+1), ROW(B3)),1),""))</f>
        <v/>
      </c>
      <c r="D32" s="73" t="str">
        <f t="array" ref="D32">IF(OR(D$29="",COUNTA(tblInputs[Date])&lt;1),"",IFERROR(INDEX(tblInputs[Event Description],LARGE(IF((tblInputs[Date]=D$29), ROW(tblInputs[Date])-MIN(ROW(tblInputs[Date]))+1), ROW(C3)),1),""))</f>
        <v/>
      </c>
      <c r="E32" s="73" t="str">
        <f t="array" ref="E32">IF(OR(E$29="",COUNTA(tblInputs[Date])&lt;1),"",IFERROR(INDEX(tblInputs[Event Description],LARGE(IF((tblInputs[Date]=E$29), ROW(tblInputs[Date])-MIN(ROW(tblInputs[Date]))+1), ROW(D3)),1),""))</f>
        <v/>
      </c>
      <c r="F32" s="73" t="str">
        <f t="array" ref="F32">IF(OR(F$29="",COUNTA(tblInputs[Date])&lt;1),"",IFERROR(INDEX(tblInputs[Event Description],LARGE(IF((tblInputs[Date]=F$29), ROW(tblInputs[Date])-MIN(ROW(tblInputs[Date]))+1), ROW(E3)),1),""))</f>
        <v/>
      </c>
      <c r="G32" s="73" t="str">
        <f t="array" ref="G32">IF(OR(G$29="",COUNTA(tblInputs[Date])&lt;1),"",IFERROR(INDEX(tblInputs[Event Description],LARGE(IF((tblInputs[Date]=G$29), ROW(tblInputs[Date])-MIN(ROW(tblInputs[Date]))+1), ROW(F3)),1),""))</f>
        <v/>
      </c>
      <c r="H32" s="73" t="str">
        <f t="array" ref="H32">IF(OR(H$29="",COUNTA(tblInputs[Date])&lt;1),"",IFERROR(INDEX(tblInputs[Event Description],LARGE(IF((tblInputs[Date]=H$29), ROW(tblInputs[Date])-MIN(ROW(tblInputs[Date]))+1), ROW(G3)),1),""))</f>
        <v/>
      </c>
      <c r="M32" s="80"/>
      <c r="N32" s="95"/>
      <c r="O32" s="81"/>
    </row>
    <row r="33" spans="2:15" s="56" customFormat="1" x14ac:dyDescent="0.25">
      <c r="B33" s="73" t="str">
        <f t="array" ref="B33">IF(OR(B$29="",COUNTA(tblInputs[Date])&lt;1),"",IFERROR(INDEX(tblInputs[Event Description],LARGE(IF((tblInputs[Date]=B$29), ROW(tblInputs[Date])-MIN(ROW(tblInputs[Date]))+1), ROW(A4)),1),""))</f>
        <v/>
      </c>
      <c r="C33" s="73" t="str">
        <f t="array" ref="C33">IF(OR(C$29="",COUNTA(tblInputs[Date])&lt;1),"",IFERROR(INDEX(tblInputs[Event Description],LARGE(IF((tblInputs[Date]=C$29), ROW(tblInputs[Date])-MIN(ROW(tblInputs[Date]))+1), ROW(B4)),1),""))</f>
        <v/>
      </c>
      <c r="D33" s="73" t="str">
        <f t="array" ref="D33">IF(OR(D$29="",COUNTA(tblInputs[Date])&lt;1),"",IFERROR(INDEX(tblInputs[Event Description],LARGE(IF((tblInputs[Date]=D$29), ROW(tblInputs[Date])-MIN(ROW(tblInputs[Date]))+1), ROW(C4)),1),""))</f>
        <v/>
      </c>
      <c r="E33" s="73" t="str">
        <f t="array" ref="E33">IF(OR(E$29="",COUNTA(tblInputs[Date])&lt;1),"",IFERROR(INDEX(tblInputs[Event Description],LARGE(IF((tblInputs[Date]=E$29), ROW(tblInputs[Date])-MIN(ROW(tblInputs[Date]))+1), ROW(D4)),1),""))</f>
        <v/>
      </c>
      <c r="F33" s="73" t="str">
        <f t="array" ref="F33">IF(OR(F$29="",COUNTA(tblInputs[Date])&lt;1),"",IFERROR(INDEX(tblInputs[Event Description],LARGE(IF((tblInputs[Date]=F$29), ROW(tblInputs[Date])-MIN(ROW(tblInputs[Date]))+1), ROW(E4)),1),""))</f>
        <v/>
      </c>
      <c r="G33" s="73" t="str">
        <f t="array" ref="G33">IF(OR(G$29="",COUNTA(tblInputs[Date])&lt;1),"",IFERROR(INDEX(tblInputs[Event Description],LARGE(IF((tblInputs[Date]=G$29), ROW(tblInputs[Date])-MIN(ROW(tblInputs[Date]))+1), ROW(F4)),1),""))</f>
        <v/>
      </c>
      <c r="H33" s="73" t="str">
        <f t="array" ref="H33">IF(OR(H$29="",COUNTA(tblInputs[Date])&lt;1),"",IFERROR(INDEX(tblInputs[Event Description],LARGE(IF((tblInputs[Date]=H$29), ROW(tblInputs[Date])-MIN(ROW(tblInputs[Date]))+1), ROW(G4)),1),""))</f>
        <v/>
      </c>
      <c r="M33" s="80"/>
      <c r="N33" s="95"/>
      <c r="O33" s="81"/>
    </row>
    <row r="34" spans="2:15" s="56" customFormat="1" x14ac:dyDescent="0.25">
      <c r="B34" s="73" t="str">
        <f t="array" ref="B34">IF(OR(B$29="",COUNTA(tblInputs[Date])&lt;1),"",IFERROR(INDEX(tblInputs[Event Description],LARGE(IF((tblInputs[Date]=B$29), ROW(tblInputs[Date])-MIN(ROW(tblInputs[Date]))+1), ROW(A5)),1),""))</f>
        <v/>
      </c>
      <c r="C34" s="73" t="str">
        <f t="array" ref="C34">IF(OR(C$29="",COUNTA(tblInputs[Date])&lt;1),"",IFERROR(INDEX(tblInputs[Event Description],LARGE(IF((tblInputs[Date]=C$29), ROW(tblInputs[Date])-MIN(ROW(tblInputs[Date]))+1), ROW(B5)),1),""))</f>
        <v/>
      </c>
      <c r="D34" s="73" t="str">
        <f t="array" ref="D34">IF(OR(D$29="",COUNTA(tblInputs[Date])&lt;1),"",IFERROR(INDEX(tblInputs[Event Description],LARGE(IF((tblInputs[Date]=D$29), ROW(tblInputs[Date])-MIN(ROW(tblInputs[Date]))+1), ROW(C5)),1),""))</f>
        <v/>
      </c>
      <c r="E34" s="73" t="str">
        <f t="array" ref="E34">IF(OR(E$29="",COUNTA(tblInputs[Date])&lt;1),"",IFERROR(INDEX(tblInputs[Event Description],LARGE(IF((tblInputs[Date]=E$29), ROW(tblInputs[Date])-MIN(ROW(tblInputs[Date]))+1), ROW(D5)),1),""))</f>
        <v/>
      </c>
      <c r="F34" s="73" t="str">
        <f t="array" ref="F34">IF(OR(F$29="",COUNTA(tblInputs[Date])&lt;1),"",IFERROR(INDEX(tblInputs[Event Description],LARGE(IF((tblInputs[Date]=F$29), ROW(tblInputs[Date])-MIN(ROW(tblInputs[Date]))+1), ROW(E5)),1),""))</f>
        <v/>
      </c>
      <c r="G34" s="73" t="str">
        <f t="array" ref="G34">IF(OR(G$29="",COUNTA(tblInputs[Date])&lt;1),"",IFERROR(INDEX(tblInputs[Event Description],LARGE(IF((tblInputs[Date]=G$29), ROW(tblInputs[Date])-MIN(ROW(tblInputs[Date]))+1), ROW(F5)),1),""))</f>
        <v/>
      </c>
      <c r="H34" s="73" t="str">
        <f t="array" ref="H34">IF(OR(H$29="",COUNTA(tblInputs[Date])&lt;1),"",IFERROR(INDEX(tblInputs[Event Description],LARGE(IF((tblInputs[Date]=H$29), ROW(tblInputs[Date])-MIN(ROW(tblInputs[Date]))+1), ROW(G5)),1),""))</f>
        <v/>
      </c>
      <c r="M34" s="80"/>
      <c r="N34" s="95"/>
      <c r="O34" s="81"/>
    </row>
    <row r="35" spans="2:15" x14ac:dyDescent="0.25">
      <c r="B35" s="75" t="str">
        <f>IF(H29="","",IF((H29+1)&gt;lastday,"",H29+1))</f>
        <v/>
      </c>
      <c r="C35" s="75" t="str">
        <f t="shared" ref="C35:H35" si="5">IF(B35="","",IF((B35+1)&gt;lastday,"",B35+1))</f>
        <v/>
      </c>
      <c r="D35" s="75" t="str">
        <f t="shared" si="5"/>
        <v/>
      </c>
      <c r="E35" s="75" t="str">
        <f t="shared" si="5"/>
        <v/>
      </c>
      <c r="F35" s="75" t="str">
        <f t="shared" si="5"/>
        <v/>
      </c>
      <c r="G35" s="75" t="str">
        <f t="shared" si="5"/>
        <v/>
      </c>
      <c r="H35" s="75" t="str">
        <f t="shared" si="5"/>
        <v/>
      </c>
      <c r="M35" s="80"/>
      <c r="N35" s="95"/>
      <c r="O35" s="81"/>
    </row>
    <row r="36" spans="2:15" s="56" customFormat="1" x14ac:dyDescent="0.25">
      <c r="B36" s="73" t="str">
        <f t="array" ref="B36">IF(OR(B$35="",COUNTA(tblInputs[Date])&lt;1),"",IFERROR(INDEX(tblInputs[Event Description],LARGE(IF((tblInputs[Date]=B$35), ROW(tblInputs[Date])-MIN(ROW(tblInputs[Date]))+1), ROW(A1)),1),""))</f>
        <v/>
      </c>
      <c r="C36" s="73" t="str">
        <f t="array" ref="C36">IF(OR(C$35="",COUNTA(tblInputs[Date])&lt;1),"",IFERROR(INDEX(tblInputs[Event Description],LARGE(IF((tblInputs[Date]=C$35), ROW(tblInputs[Date])-MIN(ROW(tblInputs[Date]))+1), ROW(B1)),1),""))</f>
        <v/>
      </c>
      <c r="D36" s="73" t="str">
        <f t="array" ref="D36">IF(OR(D$35="",COUNTA(tblInputs[Date])&lt;1),"",IFERROR(INDEX(tblInputs[Event Description],LARGE(IF((tblInputs[Date]=D$35), ROW(tblInputs[Date])-MIN(ROW(tblInputs[Date]))+1), ROW(C1)),1),""))</f>
        <v/>
      </c>
      <c r="E36" s="73" t="str">
        <f t="array" ref="E36">IF(OR(E$35="",COUNTA(tblInputs[Date])&lt;1),"",IFERROR(INDEX(tblInputs[Event Description],LARGE(IF((tblInputs[Date]=E$35), ROW(tblInputs[Date])-MIN(ROW(tblInputs[Date]))+1), ROW(D1)),1),""))</f>
        <v/>
      </c>
      <c r="F36" s="73" t="str">
        <f t="array" ref="F36">IF(OR(F$35="",COUNTA(tblInputs[Date])&lt;1),"",IFERROR(INDEX(tblInputs[Event Description],LARGE(IF((tblInputs[Date]=F$35), ROW(tblInputs[Date])-MIN(ROW(tblInputs[Date]))+1), ROW(E1)),1),""))</f>
        <v/>
      </c>
      <c r="G36" s="73" t="str">
        <f t="array" ref="G36">IF(OR(G$35="",COUNTA(tblInputs[Date])&lt;1),"",IFERROR(INDEX(tblInputs[Event Description],LARGE(IF((tblInputs[Date]=G$35), ROW(tblInputs[Date])-MIN(ROW(tblInputs[Date]))+1), ROW(F1)),1),""))</f>
        <v/>
      </c>
      <c r="H36" s="73" t="str">
        <f t="array" ref="H36">IF(OR(H$35="",COUNTA(tblInputs[Date])&lt;1),"",IFERROR(INDEX(tblInputs[Event Description],LARGE(IF((tblInputs[Date]=H$35), ROW(tblInputs[Date])-MIN(ROW(tblInputs[Date]))+1), ROW(G1)),1),""))</f>
        <v/>
      </c>
      <c r="M36" s="80"/>
      <c r="N36" s="95"/>
      <c r="O36" s="81"/>
    </row>
    <row r="37" spans="2:15" s="56" customFormat="1" x14ac:dyDescent="0.25">
      <c r="B37" s="73" t="str">
        <f t="array" ref="B37">IF(OR(B$35="",COUNTA(tblInputs[Date])&lt;1),"",IFERROR(INDEX(tblInputs[Event Description],LARGE(IF((tblInputs[Date]=B$35), ROW(tblInputs[Date])-MIN(ROW(tblInputs[Date]))+1), ROW(A2)),1),""))</f>
        <v/>
      </c>
      <c r="C37" s="73" t="str">
        <f t="array" ref="C37">IF(OR(C$35="",COUNTA(tblInputs[Date])&lt;1),"",IFERROR(INDEX(tblInputs[Event Description],LARGE(IF((tblInputs[Date]=C$35), ROW(tblInputs[Date])-MIN(ROW(tblInputs[Date]))+1), ROW(B2)),1),""))</f>
        <v/>
      </c>
      <c r="D37" s="73" t="str">
        <f t="array" ref="D37">IF(OR(D$35="",COUNTA(tblInputs[Date])&lt;1),"",IFERROR(INDEX(tblInputs[Event Description],LARGE(IF((tblInputs[Date]=D$35), ROW(tblInputs[Date])-MIN(ROW(tblInputs[Date]))+1), ROW(C2)),1),""))</f>
        <v/>
      </c>
      <c r="E37" s="73" t="str">
        <f t="array" ref="E37">IF(OR(E$35="",COUNTA(tblInputs[Date])&lt;1),"",IFERROR(INDEX(tblInputs[Event Description],LARGE(IF((tblInputs[Date]=E$35), ROW(tblInputs[Date])-MIN(ROW(tblInputs[Date]))+1), ROW(D2)),1),""))</f>
        <v/>
      </c>
      <c r="F37" s="73" t="str">
        <f t="array" ref="F37">IF(OR(F$35="",COUNTA(tblInputs[Date])&lt;1),"",IFERROR(INDEX(tblInputs[Event Description],LARGE(IF((tblInputs[Date]=F$35), ROW(tblInputs[Date])-MIN(ROW(tblInputs[Date]))+1), ROW(E2)),1),""))</f>
        <v/>
      </c>
      <c r="G37" s="73" t="str">
        <f t="array" ref="G37">IF(OR(G$35="",COUNTA(tblInputs[Date])&lt;1),"",IFERROR(INDEX(tblInputs[Event Description],LARGE(IF((tblInputs[Date]=G$35), ROW(tblInputs[Date])-MIN(ROW(tblInputs[Date]))+1), ROW(F2)),1),""))</f>
        <v/>
      </c>
      <c r="H37" s="73" t="str">
        <f t="array" ref="H37">IF(OR(H$35="",COUNTA(tblInputs[Date])&lt;1),"",IFERROR(INDEX(tblInputs[Event Description],LARGE(IF((tblInputs[Date]=H$35), ROW(tblInputs[Date])-MIN(ROW(tblInputs[Date]))+1), ROW(G2)),1),""))</f>
        <v/>
      </c>
      <c r="M37" s="80"/>
      <c r="N37" s="95"/>
      <c r="O37" s="81"/>
    </row>
    <row r="38" spans="2:15" s="56" customFormat="1" x14ac:dyDescent="0.25">
      <c r="B38" s="73" t="str">
        <f t="array" ref="B38">IF(OR(B$35="",COUNTA(tblInputs[Date])&lt;1),"",IFERROR(INDEX(tblInputs[Event Description],LARGE(IF((tblInputs[Date]=B$35), ROW(tblInputs[Date])-MIN(ROW(tblInputs[Date]))+1), ROW(A3)),1),""))</f>
        <v/>
      </c>
      <c r="C38" s="73" t="str">
        <f t="array" ref="C38">IF(OR(C$35="",COUNTA(tblInputs[Date])&lt;1),"",IFERROR(INDEX(tblInputs[Event Description],LARGE(IF((tblInputs[Date]=C$35), ROW(tblInputs[Date])-MIN(ROW(tblInputs[Date]))+1), ROW(B3)),1),""))</f>
        <v/>
      </c>
      <c r="D38" s="73" t="str">
        <f t="array" ref="D38">IF(OR(D$35="",COUNTA(tblInputs[Date])&lt;1),"",IFERROR(INDEX(tblInputs[Event Description],LARGE(IF((tblInputs[Date]=D$35), ROW(tblInputs[Date])-MIN(ROW(tblInputs[Date]))+1), ROW(C3)),1),""))</f>
        <v/>
      </c>
      <c r="E38" s="73" t="str">
        <f t="array" ref="E38">IF(OR(E$35="",COUNTA(tblInputs[Date])&lt;1),"",IFERROR(INDEX(tblInputs[Event Description],LARGE(IF((tblInputs[Date]=E$35), ROW(tblInputs[Date])-MIN(ROW(tblInputs[Date]))+1), ROW(D3)),1),""))</f>
        <v/>
      </c>
      <c r="F38" s="73" t="str">
        <f t="array" ref="F38">IF(OR(F$35="",COUNTA(tblInputs[Date])&lt;1),"",IFERROR(INDEX(tblInputs[Event Description],LARGE(IF((tblInputs[Date]=F$35), ROW(tblInputs[Date])-MIN(ROW(tblInputs[Date]))+1), ROW(E3)),1),""))</f>
        <v/>
      </c>
      <c r="G38" s="73" t="str">
        <f t="array" ref="G38">IF(OR(G$35="",COUNTA(tblInputs[Date])&lt;1),"",IFERROR(INDEX(tblInputs[Event Description],LARGE(IF((tblInputs[Date]=G$35), ROW(tblInputs[Date])-MIN(ROW(tblInputs[Date]))+1), ROW(F3)),1),""))</f>
        <v/>
      </c>
      <c r="H38" s="73" t="str">
        <f t="array" ref="H38">IF(OR(H$35="",COUNTA(tblInputs[Date])&lt;1),"",IFERROR(INDEX(tblInputs[Event Description],LARGE(IF((tblInputs[Date]=H$35), ROW(tblInputs[Date])-MIN(ROW(tblInputs[Date]))+1), ROW(G3)),1),""))</f>
        <v/>
      </c>
      <c r="M38" s="80"/>
      <c r="N38" s="95"/>
      <c r="O38" s="81"/>
    </row>
    <row r="39" spans="2:15" s="56" customFormat="1" x14ac:dyDescent="0.25">
      <c r="B39" s="73" t="str">
        <f t="array" ref="B39">IF(OR(B$35="",COUNTA(tblInputs[Date])&lt;1),"",IFERROR(INDEX(tblInputs[Event Description],LARGE(IF((tblInputs[Date]=B$35), ROW(tblInputs[Date])-MIN(ROW(tblInputs[Date]))+1), ROW(A4)),1),""))</f>
        <v/>
      </c>
      <c r="C39" s="73" t="str">
        <f t="array" ref="C39">IF(OR(C$35="",COUNTA(tblInputs[Date])&lt;1),"",IFERROR(INDEX(tblInputs[Event Description],LARGE(IF((tblInputs[Date]=C$35), ROW(tblInputs[Date])-MIN(ROW(tblInputs[Date]))+1), ROW(B4)),1),""))</f>
        <v/>
      </c>
      <c r="D39" s="73" t="str">
        <f t="array" ref="D39">IF(OR(D$35="",COUNTA(tblInputs[Date])&lt;1),"",IFERROR(INDEX(tblInputs[Event Description],LARGE(IF((tblInputs[Date]=D$35), ROW(tblInputs[Date])-MIN(ROW(tblInputs[Date]))+1), ROW(C4)),1),""))</f>
        <v/>
      </c>
      <c r="E39" s="73" t="str">
        <f t="array" ref="E39">IF(OR(E$35="",COUNTA(tblInputs[Date])&lt;1),"",IFERROR(INDEX(tblInputs[Event Description],LARGE(IF((tblInputs[Date]=E$35), ROW(tblInputs[Date])-MIN(ROW(tblInputs[Date]))+1), ROW(D4)),1),""))</f>
        <v/>
      </c>
      <c r="F39" s="73" t="str">
        <f t="array" ref="F39">IF(OR(F$35="",COUNTA(tblInputs[Date])&lt;1),"",IFERROR(INDEX(tblInputs[Event Description],LARGE(IF((tblInputs[Date]=F$35), ROW(tblInputs[Date])-MIN(ROW(tblInputs[Date]))+1), ROW(E4)),1),""))</f>
        <v/>
      </c>
      <c r="G39" s="73" t="str">
        <f t="array" ref="G39">IF(OR(G$35="",COUNTA(tblInputs[Date])&lt;1),"",IFERROR(INDEX(tblInputs[Event Description],LARGE(IF((tblInputs[Date]=G$35), ROW(tblInputs[Date])-MIN(ROW(tblInputs[Date]))+1), ROW(F4)),1),""))</f>
        <v/>
      </c>
      <c r="H39" s="73" t="str">
        <f t="array" ref="H39">IF(OR(H$35="",COUNTA(tblInputs[Date])&lt;1),"",IFERROR(INDEX(tblInputs[Event Description],LARGE(IF((tblInputs[Date]=H$35), ROW(tblInputs[Date])-MIN(ROW(tblInputs[Date]))+1), ROW(G4)),1),""))</f>
        <v/>
      </c>
      <c r="M39" s="80"/>
      <c r="N39" s="95"/>
      <c r="O39" s="81"/>
    </row>
    <row r="40" spans="2:15" s="56" customFormat="1" x14ac:dyDescent="0.25">
      <c r="B40" s="77" t="str">
        <f t="array" ref="B40">IF(OR(B$35="",COUNTA(tblInputs[Date])&lt;1),"",IFERROR(INDEX(tblInputs[Event Description],LARGE(IF((tblInputs[Date]=B$35), ROW(tblInputs[Date])-MIN(ROW(tblInputs[Date]))+1), ROW(A5)),1),""))</f>
        <v/>
      </c>
      <c r="C40" s="77" t="str">
        <f t="array" ref="C40">IF(OR(C$35="",COUNTA(tblInputs[Date])&lt;1),"",IFERROR(INDEX(tblInputs[Event Description],LARGE(IF((tblInputs[Date]=C$35), ROW(tblInputs[Date])-MIN(ROW(tblInputs[Date]))+1), ROW(B5)),1),""))</f>
        <v/>
      </c>
      <c r="D40" s="77" t="str">
        <f t="array" ref="D40">IF(OR(D$35="",COUNTA(tblInputs[Date])&lt;1),"",IFERROR(INDEX(tblInputs[Event Description],LARGE(IF((tblInputs[Date]=D$35), ROW(tblInputs[Date])-MIN(ROW(tblInputs[Date]))+1), ROW(C5)),1),""))</f>
        <v/>
      </c>
      <c r="E40" s="77" t="str">
        <f t="array" ref="E40">IF(OR(E$35="",COUNTA(tblInputs[Date])&lt;1),"",IFERROR(INDEX(tblInputs[Event Description],LARGE(IF((tblInputs[Date]=E$35), ROW(tblInputs[Date])-MIN(ROW(tblInputs[Date]))+1), ROW(D5)),1),""))</f>
        <v/>
      </c>
      <c r="F40" s="77" t="str">
        <f t="array" ref="F40">IF(OR(F$35="",COUNTA(tblInputs[Date])&lt;1),"",IFERROR(INDEX(tblInputs[Event Description],LARGE(IF((tblInputs[Date]=F$35), ROW(tblInputs[Date])-MIN(ROW(tblInputs[Date]))+1), ROW(E5)),1),""))</f>
        <v/>
      </c>
      <c r="G40" s="77" t="str">
        <f t="array" ref="G40">IF(OR(G$35="",COUNTA(tblInputs[Date])&lt;1),"",IFERROR(INDEX(tblInputs[Event Description],LARGE(IF((tblInputs[Date]=G$35), ROW(tblInputs[Date])-MIN(ROW(tblInputs[Date]))+1), ROW(F5)),1),""))</f>
        <v/>
      </c>
      <c r="H40" s="77" t="str">
        <f t="array" ref="H40">IF(OR(H$35="",COUNTA(tblInputs[Date])&lt;1),"",IFERROR(INDEX(tblInputs[Event Description],LARGE(IF((tblInputs[Date]=H$35), ROW(tblInputs[Date])-MIN(ROW(tblInputs[Date]))+1), ROW(G5)),1),""))</f>
        <v/>
      </c>
      <c r="M40" s="80"/>
      <c r="N40" s="95"/>
      <c r="O40" s="81"/>
    </row>
    <row r="41" spans="2:15" x14ac:dyDescent="0.25">
      <c r="M41" s="80"/>
      <c r="N41" s="95"/>
      <c r="O41" s="81"/>
    </row>
    <row r="42" spans="2:15" x14ac:dyDescent="0.25">
      <c r="M42" s="80"/>
      <c r="N42" s="95"/>
      <c r="O42" s="81"/>
    </row>
    <row r="43" spans="2:15" x14ac:dyDescent="0.25">
      <c r="M43" s="80"/>
      <c r="N43" s="95"/>
      <c r="O43" s="81"/>
    </row>
    <row r="44" spans="2:15" x14ac:dyDescent="0.25">
      <c r="M44" s="80"/>
      <c r="N44" s="95"/>
      <c r="O44" s="81"/>
    </row>
    <row r="45" spans="2:15" x14ac:dyDescent="0.25">
      <c r="M45" s="80"/>
      <c r="N45" s="95"/>
      <c r="O45" s="81"/>
    </row>
    <row r="46" spans="2:15" x14ac:dyDescent="0.25">
      <c r="M46" s="80"/>
      <c r="N46" s="95"/>
      <c r="O46" s="81"/>
    </row>
    <row r="47" spans="2:15" x14ac:dyDescent="0.25">
      <c r="M47" s="80"/>
      <c r="N47" s="95"/>
      <c r="O47" s="81"/>
    </row>
    <row r="48" spans="2:15" x14ac:dyDescent="0.25">
      <c r="M48" s="80"/>
      <c r="N48" s="95"/>
      <c r="O48" s="81"/>
    </row>
    <row r="49" spans="13:15" x14ac:dyDescent="0.25">
      <c r="M49" s="80"/>
      <c r="N49" s="95"/>
      <c r="O49" s="81"/>
    </row>
    <row r="50" spans="13:15" x14ac:dyDescent="0.25">
      <c r="M50" s="80"/>
      <c r="N50" s="95"/>
      <c r="O50" s="81"/>
    </row>
    <row r="51" spans="13:15" x14ac:dyDescent="0.25">
      <c r="M51" s="80"/>
      <c r="N51" s="95"/>
      <c r="O51" s="81"/>
    </row>
    <row r="52" spans="13:15" x14ac:dyDescent="0.25">
      <c r="M52" s="80"/>
      <c r="N52" s="95"/>
      <c r="O52" s="81"/>
    </row>
    <row r="53" spans="13:15" x14ac:dyDescent="0.25">
      <c r="M53" s="80"/>
      <c r="N53" s="95"/>
      <c r="O53" s="81"/>
    </row>
    <row r="54" spans="13:15" x14ac:dyDescent="0.25">
      <c r="M54" s="80"/>
      <c r="N54" s="95"/>
      <c r="O54" s="81"/>
    </row>
    <row r="55" spans="13:15" x14ac:dyDescent="0.25">
      <c r="M55" s="80"/>
      <c r="N55" s="95"/>
      <c r="O55" s="81"/>
    </row>
    <row r="56" spans="13:15" x14ac:dyDescent="0.25">
      <c r="M56" s="80"/>
      <c r="N56" s="95"/>
      <c r="O56" s="81"/>
    </row>
    <row r="57" spans="13:15" x14ac:dyDescent="0.25">
      <c r="M57" s="80"/>
      <c r="N57" s="95"/>
      <c r="O57" s="81"/>
    </row>
    <row r="58" spans="13:15" x14ac:dyDescent="0.25">
      <c r="M58" s="80"/>
      <c r="N58" s="95"/>
      <c r="O58" s="81"/>
    </row>
    <row r="59" spans="13:15" x14ac:dyDescent="0.25">
      <c r="M59" s="80"/>
      <c r="N59" s="95"/>
      <c r="O59" s="81"/>
    </row>
    <row r="60" spans="13:15" x14ac:dyDescent="0.25">
      <c r="M60" s="80"/>
      <c r="N60" s="95"/>
      <c r="O60" s="81"/>
    </row>
    <row r="61" spans="13:15" x14ac:dyDescent="0.25">
      <c r="M61" s="80"/>
      <c r="N61" s="95"/>
      <c r="O61" s="81"/>
    </row>
    <row r="62" spans="13:15" x14ac:dyDescent="0.25">
      <c r="M62" s="80"/>
      <c r="N62" s="95"/>
      <c r="O62" s="81"/>
    </row>
    <row r="63" spans="13:15" x14ac:dyDescent="0.25">
      <c r="M63" s="80"/>
      <c r="N63" s="95"/>
      <c r="O63" s="81"/>
    </row>
    <row r="64" spans="13:15" x14ac:dyDescent="0.25">
      <c r="M64" s="80"/>
      <c r="N64" s="95"/>
      <c r="O64" s="81"/>
    </row>
    <row r="65" spans="13:15" x14ac:dyDescent="0.25">
      <c r="M65" s="80"/>
      <c r="N65" s="95"/>
      <c r="O65" s="81"/>
    </row>
    <row r="66" spans="13:15" x14ac:dyDescent="0.25">
      <c r="M66" s="80"/>
      <c r="N66" s="95"/>
      <c r="O66" s="81"/>
    </row>
    <row r="67" spans="13:15" x14ac:dyDescent="0.25">
      <c r="M67" s="80"/>
      <c r="N67" s="95"/>
      <c r="O67" s="81"/>
    </row>
    <row r="68" spans="13:15" x14ac:dyDescent="0.25">
      <c r="M68" s="80"/>
      <c r="N68" s="95"/>
      <c r="O68" s="81"/>
    </row>
    <row r="69" spans="13:15" x14ac:dyDescent="0.25">
      <c r="M69" s="80"/>
      <c r="N69" s="95"/>
      <c r="O69" s="81"/>
    </row>
    <row r="70" spans="13:15" x14ac:dyDescent="0.25">
      <c r="M70" s="80"/>
      <c r="N70" s="95"/>
      <c r="O70" s="81"/>
    </row>
    <row r="71" spans="13:15" x14ac:dyDescent="0.25">
      <c r="M71" s="80"/>
      <c r="N71" s="95"/>
      <c r="O71" s="81"/>
    </row>
    <row r="72" spans="13:15" x14ac:dyDescent="0.25">
      <c r="M72" s="80"/>
      <c r="N72" s="95"/>
      <c r="O72" s="81"/>
    </row>
    <row r="73" spans="13:15" x14ac:dyDescent="0.25">
      <c r="M73" s="80"/>
      <c r="N73" s="95"/>
      <c r="O73" s="81"/>
    </row>
    <row r="74" spans="13:15" x14ac:dyDescent="0.25">
      <c r="M74" s="80"/>
      <c r="N74" s="95"/>
      <c r="O74" s="81"/>
    </row>
    <row r="75" spans="13:15" x14ac:dyDescent="0.25">
      <c r="M75" s="80"/>
      <c r="N75" s="95"/>
      <c r="O75" s="81"/>
    </row>
    <row r="76" spans="13:15" x14ac:dyDescent="0.25">
      <c r="M76" s="80"/>
      <c r="N76" s="95"/>
      <c r="O76" s="81"/>
    </row>
    <row r="77" spans="13:15" x14ac:dyDescent="0.25">
      <c r="M77" s="80"/>
      <c r="N77" s="95"/>
      <c r="O77" s="81"/>
    </row>
    <row r="78" spans="13:15" x14ac:dyDescent="0.25">
      <c r="M78" s="80"/>
      <c r="N78" s="95"/>
      <c r="O78" s="81"/>
    </row>
    <row r="79" spans="13:15" x14ac:dyDescent="0.25">
      <c r="M79" s="80"/>
      <c r="N79" s="95"/>
      <c r="O79" s="81"/>
    </row>
    <row r="80" spans="13:15" x14ac:dyDescent="0.25">
      <c r="M80" s="80"/>
      <c r="N80" s="95"/>
      <c r="O80" s="81"/>
    </row>
    <row r="81" spans="13:15" x14ac:dyDescent="0.25">
      <c r="M81" s="80"/>
      <c r="N81" s="95"/>
      <c r="O81" s="81"/>
    </row>
    <row r="82" spans="13:15" x14ac:dyDescent="0.25">
      <c r="M82" s="80"/>
      <c r="N82" s="95"/>
      <c r="O82" s="81"/>
    </row>
    <row r="83" spans="13:15" x14ac:dyDescent="0.25">
      <c r="M83" s="80"/>
      <c r="N83" s="95"/>
      <c r="O83" s="81"/>
    </row>
    <row r="84" spans="13:15" x14ac:dyDescent="0.25">
      <c r="M84" s="80"/>
      <c r="N84" s="95"/>
      <c r="O84" s="81"/>
    </row>
    <row r="85" spans="13:15" x14ac:dyDescent="0.25">
      <c r="M85" s="80"/>
      <c r="N85" s="95"/>
      <c r="O85" s="81"/>
    </row>
    <row r="86" spans="13:15" x14ac:dyDescent="0.25">
      <c r="M86" s="80"/>
      <c r="N86" s="95"/>
      <c r="O86" s="81"/>
    </row>
    <row r="87" spans="13:15" x14ac:dyDescent="0.25">
      <c r="M87" s="80"/>
      <c r="N87" s="95"/>
      <c r="O87" s="81"/>
    </row>
    <row r="88" spans="13:15" x14ac:dyDescent="0.25">
      <c r="M88" s="80"/>
      <c r="N88" s="95"/>
      <c r="O88" s="81"/>
    </row>
    <row r="89" spans="13:15" x14ac:dyDescent="0.25">
      <c r="M89" s="80"/>
      <c r="N89" s="95"/>
      <c r="O89" s="81"/>
    </row>
    <row r="90" spans="13:15" x14ac:dyDescent="0.25">
      <c r="M90" s="80"/>
      <c r="N90" s="95"/>
      <c r="O90" s="81"/>
    </row>
    <row r="91" spans="13:15" x14ac:dyDescent="0.25">
      <c r="M91" s="80"/>
      <c r="N91" s="95"/>
      <c r="O91" s="81"/>
    </row>
    <row r="92" spans="13:15" x14ac:dyDescent="0.25">
      <c r="M92" s="80"/>
      <c r="N92" s="95"/>
      <c r="O92" s="81"/>
    </row>
    <row r="93" spans="13:15" x14ac:dyDescent="0.25">
      <c r="M93" s="80"/>
      <c r="N93" s="95"/>
      <c r="O93" s="81"/>
    </row>
    <row r="94" spans="13:15" x14ac:dyDescent="0.25">
      <c r="M94" s="80"/>
      <c r="N94" s="95"/>
      <c r="O94" s="81"/>
    </row>
    <row r="95" spans="13:15" x14ac:dyDescent="0.25">
      <c r="M95" s="80"/>
      <c r="N95" s="95"/>
      <c r="O95" s="81"/>
    </row>
    <row r="96" spans="13:15" x14ac:dyDescent="0.25">
      <c r="M96" s="80"/>
      <c r="N96" s="95"/>
      <c r="O96" s="81"/>
    </row>
    <row r="97" spans="13:15" x14ac:dyDescent="0.25">
      <c r="M97" s="80"/>
      <c r="N97" s="95"/>
      <c r="O97" s="81"/>
    </row>
    <row r="98" spans="13:15" x14ac:dyDescent="0.25">
      <c r="M98" s="80"/>
      <c r="N98" s="95"/>
      <c r="O98" s="81"/>
    </row>
    <row r="99" spans="13:15" x14ac:dyDescent="0.25">
      <c r="M99" s="80"/>
      <c r="N99" s="95"/>
      <c r="O99" s="81"/>
    </row>
    <row r="100" spans="13:15" x14ac:dyDescent="0.25">
      <c r="M100" s="80"/>
      <c r="N100" s="95"/>
      <c r="O100" s="81"/>
    </row>
    <row r="101" spans="13:15" x14ac:dyDescent="0.25">
      <c r="M101" s="80"/>
      <c r="N101" s="95"/>
      <c r="O101" s="81"/>
    </row>
    <row r="102" spans="13:15" x14ac:dyDescent="0.25">
      <c r="M102" s="80"/>
      <c r="N102" s="95"/>
      <c r="O102" s="81"/>
    </row>
    <row r="103" spans="13:15" x14ac:dyDescent="0.25">
      <c r="M103" s="80"/>
      <c r="N103" s="95"/>
      <c r="O103" s="81"/>
    </row>
    <row r="104" spans="13:15" x14ac:dyDescent="0.25">
      <c r="M104" s="80"/>
      <c r="N104" s="95"/>
      <c r="O104" s="81"/>
    </row>
    <row r="105" spans="13:15" x14ac:dyDescent="0.25">
      <c r="M105" s="80"/>
      <c r="N105" s="95"/>
      <c r="O105" s="81"/>
    </row>
    <row r="106" spans="13:15" x14ac:dyDescent="0.25">
      <c r="M106" s="80"/>
      <c r="N106" s="95"/>
      <c r="O106" s="81"/>
    </row>
    <row r="107" spans="13:15" x14ac:dyDescent="0.25">
      <c r="M107" s="80"/>
      <c r="N107" s="95"/>
      <c r="O107" s="81"/>
    </row>
    <row r="108" spans="13:15" x14ac:dyDescent="0.25">
      <c r="M108" s="80"/>
      <c r="N108" s="95"/>
      <c r="O108" s="81"/>
    </row>
    <row r="109" spans="13:15" x14ac:dyDescent="0.25">
      <c r="M109" s="80"/>
      <c r="N109" s="95"/>
      <c r="O109" s="81"/>
    </row>
    <row r="110" spans="13:15" x14ac:dyDescent="0.25">
      <c r="M110" s="80"/>
      <c r="N110" s="95"/>
      <c r="O110" s="81"/>
    </row>
    <row r="111" spans="13:15" x14ac:dyDescent="0.25">
      <c r="M111" s="80"/>
      <c r="N111" s="95"/>
      <c r="O111" s="81"/>
    </row>
    <row r="112" spans="13:15" x14ac:dyDescent="0.25">
      <c r="M112" s="80"/>
      <c r="N112" s="95"/>
      <c r="O112" s="81"/>
    </row>
    <row r="113" spans="13:15" x14ac:dyDescent="0.25">
      <c r="M113" s="80"/>
      <c r="N113" s="95"/>
      <c r="O113" s="81"/>
    </row>
    <row r="114" spans="13:15" x14ac:dyDescent="0.25">
      <c r="M114" s="80"/>
      <c r="N114" s="95"/>
      <c r="O114" s="81"/>
    </row>
    <row r="115" spans="13:15" x14ac:dyDescent="0.25">
      <c r="M115" s="80"/>
      <c r="N115" s="95"/>
      <c r="O115" s="81"/>
    </row>
    <row r="116" spans="13:15" x14ac:dyDescent="0.25">
      <c r="M116" s="80"/>
      <c r="N116" s="95"/>
      <c r="O116" s="81"/>
    </row>
    <row r="117" spans="13:15" x14ac:dyDescent="0.25">
      <c r="M117" s="80"/>
      <c r="N117" s="95"/>
      <c r="O117" s="81"/>
    </row>
    <row r="118" spans="13:15" x14ac:dyDescent="0.25">
      <c r="M118" s="80"/>
      <c r="N118" s="95"/>
      <c r="O118" s="81"/>
    </row>
    <row r="119" spans="13:15" x14ac:dyDescent="0.25">
      <c r="M119" s="80"/>
      <c r="N119" s="95"/>
      <c r="O119" s="81"/>
    </row>
    <row r="120" spans="13:15" x14ac:dyDescent="0.25">
      <c r="M120" s="80"/>
      <c r="N120" s="95"/>
      <c r="O120" s="81"/>
    </row>
    <row r="121" spans="13:15" x14ac:dyDescent="0.25">
      <c r="M121" s="80"/>
      <c r="N121" s="95"/>
      <c r="O121" s="81"/>
    </row>
    <row r="122" spans="13:15" x14ac:dyDescent="0.25">
      <c r="M122" s="80"/>
      <c r="N122" s="95"/>
      <c r="O122" s="81"/>
    </row>
    <row r="123" spans="13:15" x14ac:dyDescent="0.25">
      <c r="M123" s="80"/>
      <c r="N123" s="95"/>
      <c r="O123" s="81"/>
    </row>
    <row r="124" spans="13:15" x14ac:dyDescent="0.25">
      <c r="M124" s="80"/>
      <c r="N124" s="95"/>
      <c r="O124" s="81"/>
    </row>
    <row r="125" spans="13:15" x14ac:dyDescent="0.25">
      <c r="M125" s="80"/>
      <c r="N125" s="95"/>
      <c r="O125" s="81"/>
    </row>
    <row r="126" spans="13:15" x14ac:dyDescent="0.25">
      <c r="M126" s="80"/>
      <c r="N126" s="95"/>
      <c r="O126" s="81"/>
    </row>
    <row r="127" spans="13:15" x14ac:dyDescent="0.25">
      <c r="M127" s="80"/>
      <c r="N127" s="95"/>
      <c r="O127" s="81"/>
    </row>
    <row r="128" spans="13:15" x14ac:dyDescent="0.25">
      <c r="M128" s="80"/>
      <c r="N128" s="95"/>
      <c r="O128" s="81"/>
    </row>
    <row r="129" spans="13:15" x14ac:dyDescent="0.25">
      <c r="M129" s="80"/>
      <c r="N129" s="95"/>
      <c r="O129" s="81"/>
    </row>
    <row r="130" spans="13:15" x14ac:dyDescent="0.25">
      <c r="M130" s="80"/>
      <c r="N130" s="95"/>
      <c r="O130" s="81"/>
    </row>
    <row r="131" spans="13:15" x14ac:dyDescent="0.25">
      <c r="M131" s="80"/>
      <c r="N131" s="95"/>
      <c r="O131" s="81"/>
    </row>
    <row r="132" spans="13:15" x14ac:dyDescent="0.25">
      <c r="M132" s="80"/>
      <c r="N132" s="95"/>
      <c r="O132" s="81"/>
    </row>
    <row r="133" spans="13:15" x14ac:dyDescent="0.25">
      <c r="M133" s="80"/>
      <c r="N133" s="95"/>
      <c r="O133" s="81"/>
    </row>
    <row r="134" spans="13:15" x14ac:dyDescent="0.25">
      <c r="M134" s="80"/>
      <c r="N134" s="95"/>
      <c r="O134" s="81"/>
    </row>
    <row r="135" spans="13:15" x14ac:dyDescent="0.25">
      <c r="M135" s="80"/>
      <c r="N135" s="95"/>
      <c r="O135" s="81"/>
    </row>
    <row r="136" spans="13:15" x14ac:dyDescent="0.25">
      <c r="M136" s="80"/>
      <c r="N136" s="95"/>
      <c r="O136" s="81"/>
    </row>
    <row r="137" spans="13:15" x14ac:dyDescent="0.25">
      <c r="M137" s="80"/>
      <c r="N137" s="95"/>
      <c r="O137" s="81"/>
    </row>
    <row r="138" spans="13:15" x14ac:dyDescent="0.25">
      <c r="M138" s="80"/>
      <c r="N138" s="95"/>
      <c r="O138" s="81"/>
    </row>
    <row r="139" spans="13:15" x14ac:dyDescent="0.25">
      <c r="M139" s="80"/>
      <c r="N139" s="95"/>
      <c r="O139" s="81"/>
    </row>
    <row r="140" spans="13:15" x14ac:dyDescent="0.25">
      <c r="M140" s="80"/>
      <c r="N140" s="95"/>
      <c r="O140" s="81"/>
    </row>
    <row r="141" spans="13:15" x14ac:dyDescent="0.25">
      <c r="M141" s="80"/>
      <c r="N141" s="95"/>
      <c r="O141" s="81"/>
    </row>
    <row r="142" spans="13:15" x14ac:dyDescent="0.25">
      <c r="M142" s="80"/>
      <c r="N142" s="95"/>
      <c r="O142" s="81"/>
    </row>
    <row r="143" spans="13:15" x14ac:dyDescent="0.25">
      <c r="M143" s="80"/>
      <c r="N143" s="95"/>
      <c r="O143" s="81"/>
    </row>
    <row r="144" spans="13:15" x14ac:dyDescent="0.25">
      <c r="M144" s="80"/>
      <c r="N144" s="95"/>
      <c r="O144" s="81"/>
    </row>
    <row r="145" spans="13:15" x14ac:dyDescent="0.25">
      <c r="M145" s="80"/>
      <c r="N145" s="95"/>
      <c r="O145" s="81"/>
    </row>
    <row r="146" spans="13:15" x14ac:dyDescent="0.25">
      <c r="M146" s="80"/>
      <c r="N146" s="95"/>
      <c r="O146" s="81"/>
    </row>
    <row r="147" spans="13:15" x14ac:dyDescent="0.25">
      <c r="M147" s="80"/>
      <c r="N147" s="95"/>
      <c r="O147" s="81"/>
    </row>
    <row r="148" spans="13:15" x14ac:dyDescent="0.25">
      <c r="M148" s="80"/>
      <c r="N148" s="95"/>
      <c r="O148" s="81"/>
    </row>
    <row r="149" spans="13:15" x14ac:dyDescent="0.25">
      <c r="M149" s="80"/>
      <c r="N149" s="95"/>
      <c r="O149" s="81"/>
    </row>
    <row r="150" spans="13:15" x14ac:dyDescent="0.25">
      <c r="M150" s="80"/>
      <c r="N150" s="95"/>
      <c r="O150" s="81"/>
    </row>
    <row r="151" spans="13:15" x14ac:dyDescent="0.25">
      <c r="M151" s="80"/>
      <c r="N151" s="95"/>
      <c r="O151" s="81"/>
    </row>
    <row r="152" spans="13:15" x14ac:dyDescent="0.25">
      <c r="M152" s="80"/>
      <c r="N152" s="95"/>
      <c r="O152" s="81"/>
    </row>
    <row r="153" spans="13:15" x14ac:dyDescent="0.25">
      <c r="M153" s="80"/>
      <c r="N153" s="95"/>
      <c r="O153" s="81"/>
    </row>
    <row r="154" spans="13:15" x14ac:dyDescent="0.25">
      <c r="M154" s="80"/>
      <c r="N154" s="95"/>
      <c r="O154" s="81"/>
    </row>
    <row r="155" spans="13:15" x14ac:dyDescent="0.25">
      <c r="M155" s="80"/>
      <c r="N155" s="95"/>
      <c r="O155" s="81"/>
    </row>
    <row r="156" spans="13:15" x14ac:dyDescent="0.25">
      <c r="M156" s="80"/>
      <c r="N156" s="95"/>
      <c r="O156" s="81"/>
    </row>
    <row r="157" spans="13:15" x14ac:dyDescent="0.25">
      <c r="M157" s="80"/>
      <c r="N157" s="95"/>
      <c r="O157" s="81"/>
    </row>
    <row r="158" spans="13:15" x14ac:dyDescent="0.25">
      <c r="M158" s="80"/>
      <c r="N158" s="95"/>
      <c r="O158" s="81"/>
    </row>
    <row r="159" spans="13:15" x14ac:dyDescent="0.25">
      <c r="M159" s="80"/>
      <c r="N159" s="95"/>
      <c r="O159" s="81"/>
    </row>
    <row r="160" spans="13:15" x14ac:dyDescent="0.25">
      <c r="M160" s="80"/>
      <c r="N160" s="95"/>
      <c r="O160" s="81"/>
    </row>
    <row r="161" spans="13:15" x14ac:dyDescent="0.25">
      <c r="M161" s="80"/>
      <c r="N161" s="95"/>
      <c r="O161" s="81"/>
    </row>
    <row r="162" spans="13:15" x14ac:dyDescent="0.25">
      <c r="M162" s="80"/>
      <c r="N162" s="95"/>
      <c r="O162" s="81"/>
    </row>
    <row r="163" spans="13:15" x14ac:dyDescent="0.25">
      <c r="M163" s="80"/>
      <c r="N163" s="95"/>
      <c r="O163" s="81"/>
    </row>
    <row r="164" spans="13:15" x14ac:dyDescent="0.25">
      <c r="M164" s="80"/>
      <c r="N164" s="95"/>
      <c r="O164" s="81"/>
    </row>
    <row r="165" spans="13:15" x14ac:dyDescent="0.25">
      <c r="M165" s="80"/>
      <c r="N165" s="95"/>
      <c r="O165" s="81"/>
    </row>
    <row r="166" spans="13:15" x14ac:dyDescent="0.25">
      <c r="M166" s="80"/>
      <c r="N166" s="95"/>
      <c r="O166" s="81"/>
    </row>
    <row r="167" spans="13:15" x14ac:dyDescent="0.25">
      <c r="M167" s="80"/>
      <c r="N167" s="95"/>
      <c r="O167" s="81"/>
    </row>
    <row r="168" spans="13:15" x14ac:dyDescent="0.25">
      <c r="M168" s="80"/>
      <c r="N168" s="95"/>
      <c r="O168" s="81"/>
    </row>
    <row r="169" spans="13:15" x14ac:dyDescent="0.25">
      <c r="M169" s="80"/>
      <c r="N169" s="95"/>
      <c r="O169" s="81"/>
    </row>
    <row r="170" spans="13:15" x14ac:dyDescent="0.25">
      <c r="M170" s="80"/>
      <c r="N170" s="95"/>
      <c r="O170" s="81"/>
    </row>
    <row r="171" spans="13:15" x14ac:dyDescent="0.25">
      <c r="M171" s="80"/>
      <c r="N171" s="95"/>
      <c r="O171" s="81"/>
    </row>
    <row r="172" spans="13:15" x14ac:dyDescent="0.25">
      <c r="M172" s="80"/>
      <c r="N172" s="95"/>
      <c r="O172" s="81"/>
    </row>
    <row r="173" spans="13:15" x14ac:dyDescent="0.25">
      <c r="M173" s="80"/>
      <c r="N173" s="95"/>
      <c r="O173" s="81"/>
    </row>
    <row r="174" spans="13:15" x14ac:dyDescent="0.25">
      <c r="M174" s="80"/>
      <c r="N174" s="95"/>
      <c r="O174" s="81"/>
    </row>
    <row r="175" spans="13:15" x14ac:dyDescent="0.25">
      <c r="M175" s="80"/>
      <c r="N175" s="95"/>
      <c r="O175" s="81"/>
    </row>
    <row r="176" spans="13:15" x14ac:dyDescent="0.25">
      <c r="M176" s="80"/>
      <c r="N176" s="95"/>
      <c r="O176" s="81"/>
    </row>
    <row r="177" spans="13:15" x14ac:dyDescent="0.25">
      <c r="M177" s="80"/>
      <c r="N177" s="95"/>
      <c r="O177" s="81"/>
    </row>
    <row r="178" spans="13:15" x14ac:dyDescent="0.25">
      <c r="M178" s="80"/>
      <c r="N178" s="95"/>
      <c r="O178" s="81"/>
    </row>
    <row r="179" spans="13:15" x14ac:dyDescent="0.25">
      <c r="M179" s="80"/>
      <c r="N179" s="95"/>
      <c r="O179" s="81"/>
    </row>
    <row r="180" spans="13:15" x14ac:dyDescent="0.25">
      <c r="M180" s="80"/>
      <c r="N180" s="95"/>
      <c r="O180" s="81"/>
    </row>
    <row r="181" spans="13:15" x14ac:dyDescent="0.25">
      <c r="M181" s="80"/>
      <c r="N181" s="95"/>
      <c r="O181" s="81"/>
    </row>
    <row r="182" spans="13:15" x14ac:dyDescent="0.25">
      <c r="M182" s="80"/>
      <c r="N182" s="95"/>
      <c r="O182" s="81"/>
    </row>
    <row r="183" spans="13:15" x14ac:dyDescent="0.25">
      <c r="M183" s="80"/>
      <c r="N183" s="95"/>
      <c r="O183" s="81"/>
    </row>
    <row r="184" spans="13:15" x14ac:dyDescent="0.25">
      <c r="M184" s="80"/>
      <c r="N184" s="95"/>
      <c r="O184" s="81"/>
    </row>
    <row r="185" spans="13:15" x14ac:dyDescent="0.25">
      <c r="M185" s="80"/>
      <c r="N185" s="95"/>
      <c r="O185" s="81"/>
    </row>
    <row r="186" spans="13:15" x14ac:dyDescent="0.25">
      <c r="M186" s="80"/>
      <c r="N186" s="95"/>
      <c r="O186" s="81"/>
    </row>
    <row r="187" spans="13:15" x14ac:dyDescent="0.25">
      <c r="M187" s="80"/>
      <c r="N187" s="95"/>
      <c r="O187" s="81"/>
    </row>
    <row r="188" spans="13:15" x14ac:dyDescent="0.25">
      <c r="M188" s="80"/>
      <c r="N188" s="95"/>
      <c r="O188" s="81"/>
    </row>
    <row r="189" spans="13:15" x14ac:dyDescent="0.25">
      <c r="M189" s="80"/>
      <c r="N189" s="95"/>
      <c r="O189" s="81"/>
    </row>
    <row r="190" spans="13:15" x14ac:dyDescent="0.25">
      <c r="M190" s="80"/>
      <c r="N190" s="95"/>
      <c r="O190" s="81"/>
    </row>
    <row r="191" spans="13:15" x14ac:dyDescent="0.25">
      <c r="M191" s="80"/>
      <c r="N191" s="95"/>
      <c r="O191" s="81"/>
    </row>
    <row r="192" spans="13:15" x14ac:dyDescent="0.25">
      <c r="M192" s="80"/>
      <c r="N192" s="95"/>
      <c r="O192" s="81"/>
    </row>
    <row r="193" spans="13:15" x14ac:dyDescent="0.25">
      <c r="M193" s="80"/>
      <c r="N193" s="95"/>
      <c r="O193" s="81"/>
    </row>
    <row r="194" spans="13:15" x14ac:dyDescent="0.25">
      <c r="M194" s="80"/>
      <c r="N194" s="95"/>
      <c r="O194" s="81"/>
    </row>
    <row r="195" spans="13:15" x14ac:dyDescent="0.25">
      <c r="M195" s="80"/>
      <c r="N195" s="95"/>
      <c r="O195" s="81"/>
    </row>
    <row r="196" spans="13:15" x14ac:dyDescent="0.25">
      <c r="M196" s="80"/>
      <c r="N196" s="95"/>
      <c r="O196" s="81"/>
    </row>
    <row r="197" spans="13:15" x14ac:dyDescent="0.25">
      <c r="M197" s="80"/>
      <c r="N197" s="95"/>
      <c r="O197" s="81"/>
    </row>
    <row r="198" spans="13:15" x14ac:dyDescent="0.25">
      <c r="M198" s="80"/>
      <c r="N198" s="95"/>
      <c r="O198" s="81"/>
    </row>
    <row r="199" spans="13:15" x14ac:dyDescent="0.25">
      <c r="M199" s="80"/>
      <c r="N199" s="95"/>
      <c r="O199" s="81"/>
    </row>
    <row r="200" spans="13:15" x14ac:dyDescent="0.25">
      <c r="M200" s="80"/>
      <c r="N200" s="95"/>
      <c r="O200" s="81"/>
    </row>
  </sheetData>
  <mergeCells count="9">
    <mergeCell ref="J22:K22"/>
    <mergeCell ref="D1:F1"/>
    <mergeCell ref="D2:F2"/>
    <mergeCell ref="B3:H3"/>
    <mergeCell ref="M3:O3"/>
    <mergeCell ref="J8:K8"/>
    <mergeCell ref="J9:K9"/>
    <mergeCell ref="J11:K11"/>
    <mergeCell ref="J21:K21"/>
  </mergeCells>
  <phoneticPr fontId="17" type="noConversion"/>
  <conditionalFormatting sqref="B6:H10 B12:H16 B18:H22 B24:H28 B30:H34 B36:H40">
    <cfRule type="expression" dxfId="13" priority="7">
      <formula>VLOOKUP(B6,$N:$O,2,FALSE)="Black"</formula>
    </cfRule>
    <cfRule type="expression" dxfId="12" priority="8">
      <formula>VLOOKUP(B6,$N:$O,2,FALSE)="Blue"</formula>
    </cfRule>
    <cfRule type="expression" dxfId="11" priority="9">
      <formula>VLOOKUP(B6,$N:$O,2,FALSE)="Red"</formula>
    </cfRule>
  </conditionalFormatting>
  <conditionalFormatting sqref="B6:H10">
    <cfRule type="expression" dxfId="10" priority="6">
      <formula>TODAY()=B$5</formula>
    </cfRule>
  </conditionalFormatting>
  <conditionalFormatting sqref="B12:H16">
    <cfRule type="expression" dxfId="9" priority="5">
      <formula>TODAY()=B$11</formula>
    </cfRule>
  </conditionalFormatting>
  <conditionalFormatting sqref="B18:H22">
    <cfRule type="expression" dxfId="8" priority="4">
      <formula>TODAY()=B$17</formula>
    </cfRule>
  </conditionalFormatting>
  <conditionalFormatting sqref="B24:H28">
    <cfRule type="expression" dxfId="7" priority="3">
      <formula>TODAY()=B$23</formula>
    </cfRule>
  </conditionalFormatting>
  <conditionalFormatting sqref="B30:H34">
    <cfRule type="expression" dxfId="6" priority="2">
      <formula>TODAY()=B$29</formula>
    </cfRule>
  </conditionalFormatting>
  <conditionalFormatting sqref="B36:H40">
    <cfRule type="expression" dxfId="5" priority="1">
      <formula>TODAY()=B$35</formula>
    </cfRule>
  </conditionalFormatting>
  <dataValidations count="1">
    <dataValidation type="list" allowBlank="1" showInputMessage="1" showErrorMessage="1" sqref="J22:K22" xr:uid="{04BF645C-342C-4C7C-81D0-5BEF15AD45C8}">
      <formula1>INDIRECT("tblCalendar[[CALENDARS    ]]")</formula1>
    </dataValidation>
  </dataValidations>
  <pageMargins left="0.7" right="0.7" top="0.75" bottom="0.75" header="0.3" footer="0.3"/>
  <pageSetup scale="79" orientation="landscape" horizontalDpi="4294967293" verticalDpi="0"/>
  <ignoredErrors>
    <ignoredError sqref="B1:H29 B31:H40 B30 D30:H30"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7409" r:id="rId3" name="List Box 1">
              <controlPr defaultSize="0" autoLine="0" autoPict="0">
                <anchor moveWithCells="1">
                  <from>
                    <xdr:col>9</xdr:col>
                    <xdr:colOff>190500</xdr:colOff>
                    <xdr:row>11</xdr:row>
                    <xdr:rowOff>19050</xdr:rowOff>
                  </from>
                  <to>
                    <xdr:col>10</xdr:col>
                    <xdr:colOff>476250</xdr:colOff>
                    <xdr:row>18</xdr:row>
                    <xdr:rowOff>104775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B6134-52B0-4EEE-99BA-AE431BE16D18}">
  <sheetPr codeName="Sheet3"/>
  <dimension ref="A1:A119"/>
  <sheetViews>
    <sheetView rightToLeft="1" topLeftCell="A10" workbookViewId="0">
      <selection activeCell="G7" sqref="G7"/>
    </sheetView>
  </sheetViews>
  <sheetFormatPr defaultRowHeight="15" x14ac:dyDescent="0.25"/>
  <sheetData>
    <row r="1" spans="1:1" x14ac:dyDescent="0.25">
      <c r="A1" s="39" t="s">
        <v>44</v>
      </c>
    </row>
    <row r="2" spans="1:1" x14ac:dyDescent="0.25">
      <c r="A2" t="s">
        <v>8</v>
      </c>
    </row>
    <row r="3" spans="1:1" x14ac:dyDescent="0.25">
      <c r="A3" t="s">
        <v>10</v>
      </c>
    </row>
    <row r="4" spans="1:1" x14ac:dyDescent="0.25">
      <c r="A4" t="s">
        <v>13</v>
      </c>
    </row>
    <row r="5" spans="1:1" x14ac:dyDescent="0.25">
      <c r="A5" t="s">
        <v>15</v>
      </c>
    </row>
    <row r="6" spans="1:1" x14ac:dyDescent="0.25">
      <c r="A6" t="s">
        <v>17</v>
      </c>
    </row>
    <row r="7" spans="1:1" x14ac:dyDescent="0.25">
      <c r="A7" t="s">
        <v>19</v>
      </c>
    </row>
    <row r="10" spans="1:1" x14ac:dyDescent="0.25">
      <c r="A10" s="54"/>
    </row>
    <row r="11" spans="1:1" x14ac:dyDescent="0.25">
      <c r="A11" s="55" t="s">
        <v>9</v>
      </c>
    </row>
    <row r="12" spans="1:1" x14ac:dyDescent="0.25">
      <c r="A12" s="55" t="s">
        <v>11</v>
      </c>
    </row>
    <row r="13" spans="1:1" x14ac:dyDescent="0.25">
      <c r="A13" s="55" t="s">
        <v>14</v>
      </c>
    </row>
    <row r="14" spans="1:1" x14ac:dyDescent="0.25">
      <c r="A14" s="55" t="s">
        <v>16</v>
      </c>
    </row>
    <row r="15" spans="1:1" x14ac:dyDescent="0.25">
      <c r="A15" s="55" t="s">
        <v>18</v>
      </c>
    </row>
    <row r="16" spans="1:1" x14ac:dyDescent="0.25">
      <c r="A16" s="55" t="s">
        <v>20</v>
      </c>
    </row>
    <row r="20" spans="1:1" x14ac:dyDescent="0.25">
      <c r="A20" s="39" t="s">
        <v>56</v>
      </c>
    </row>
    <row r="21" spans="1:1" x14ac:dyDescent="0.25">
      <c r="A21" t="s">
        <v>8</v>
      </c>
    </row>
    <row r="22" spans="1:1" x14ac:dyDescent="0.25">
      <c r="A22" t="s">
        <v>10</v>
      </c>
    </row>
    <row r="23" spans="1:1" x14ac:dyDescent="0.25">
      <c r="A23" t="s">
        <v>35</v>
      </c>
    </row>
    <row r="24" spans="1:1" x14ac:dyDescent="0.25">
      <c r="A24" t="s">
        <v>15</v>
      </c>
    </row>
    <row r="25" spans="1:1" x14ac:dyDescent="0.25">
      <c r="A25" t="s">
        <v>93</v>
      </c>
    </row>
    <row r="30" spans="1:1" x14ac:dyDescent="0.25">
      <c r="A30" s="146" t="s">
        <v>9</v>
      </c>
    </row>
    <row r="31" spans="1:1" x14ac:dyDescent="0.25">
      <c r="A31" s="55" t="s">
        <v>11</v>
      </c>
    </row>
    <row r="32" spans="1:1" x14ac:dyDescent="0.25">
      <c r="A32" s="55" t="s">
        <v>14</v>
      </c>
    </row>
    <row r="33" spans="1:1" x14ac:dyDescent="0.25">
      <c r="A33" s="55" t="s">
        <v>16</v>
      </c>
    </row>
    <row r="34" spans="1:1" x14ac:dyDescent="0.25">
      <c r="A34" s="55" t="s">
        <v>18</v>
      </c>
    </row>
    <row r="35" spans="1:1" x14ac:dyDescent="0.25">
      <c r="A35" s="55" t="s">
        <v>20</v>
      </c>
    </row>
    <row r="36" spans="1:1" x14ac:dyDescent="0.25">
      <c r="A36" s="55"/>
    </row>
    <row r="39" spans="1:1" x14ac:dyDescent="0.25">
      <c r="A39" s="39" t="s">
        <v>6</v>
      </c>
    </row>
    <row r="40" spans="1:1" x14ac:dyDescent="0.25">
      <c r="A40" t="s">
        <v>8</v>
      </c>
    </row>
    <row r="41" spans="1:1" x14ac:dyDescent="0.25">
      <c r="A41" t="s">
        <v>10</v>
      </c>
    </row>
    <row r="42" spans="1:1" x14ac:dyDescent="0.25">
      <c r="A42" t="s">
        <v>35</v>
      </c>
    </row>
    <row r="43" spans="1:1" x14ac:dyDescent="0.25">
      <c r="A43" t="s">
        <v>15</v>
      </c>
    </row>
    <row r="44" spans="1:1" x14ac:dyDescent="0.25">
      <c r="A44" t="s">
        <v>59</v>
      </c>
    </row>
    <row r="45" spans="1:1" x14ac:dyDescent="0.25">
      <c r="A45" t="s">
        <v>37</v>
      </c>
    </row>
    <row r="46" spans="1:1" x14ac:dyDescent="0.25">
      <c r="A46" t="s">
        <v>60</v>
      </c>
    </row>
    <row r="47" spans="1:1" x14ac:dyDescent="0.25">
      <c r="A47" t="s">
        <v>39</v>
      </c>
    </row>
    <row r="48" spans="1:1" x14ac:dyDescent="0.25">
      <c r="A48" s="54" t="s">
        <v>85</v>
      </c>
    </row>
    <row r="49" spans="1:1" x14ac:dyDescent="0.25">
      <c r="A49" s="55" t="s">
        <v>9</v>
      </c>
    </row>
    <row r="50" spans="1:1" x14ac:dyDescent="0.25">
      <c r="A50" s="55" t="s">
        <v>11</v>
      </c>
    </row>
    <row r="51" spans="1:1" x14ac:dyDescent="0.25">
      <c r="A51" s="55" t="s">
        <v>14</v>
      </c>
    </row>
    <row r="52" spans="1:1" x14ac:dyDescent="0.25">
      <c r="A52" s="55" t="s">
        <v>16</v>
      </c>
    </row>
    <row r="53" spans="1:1" x14ac:dyDescent="0.25">
      <c r="A53" s="55" t="s">
        <v>18</v>
      </c>
    </row>
    <row r="54" spans="1:1" x14ac:dyDescent="0.25">
      <c r="A54" s="55" t="s">
        <v>20</v>
      </c>
    </row>
    <row r="55" spans="1:1" x14ac:dyDescent="0.25">
      <c r="A55" s="55"/>
    </row>
    <row r="56" spans="1:1" x14ac:dyDescent="0.25">
      <c r="A56" s="39"/>
    </row>
    <row r="58" spans="1:1" x14ac:dyDescent="0.25">
      <c r="A58" s="39" t="s">
        <v>64</v>
      </c>
    </row>
    <row r="59" spans="1:1" x14ac:dyDescent="0.25">
      <c r="A59" t="s">
        <v>8</v>
      </c>
    </row>
    <row r="60" spans="1:1" x14ac:dyDescent="0.25">
      <c r="A60" t="s">
        <v>10</v>
      </c>
    </row>
    <row r="61" spans="1:1" x14ac:dyDescent="0.25">
      <c r="A61" t="s">
        <v>35</v>
      </c>
    </row>
    <row r="62" spans="1:1" x14ac:dyDescent="0.25">
      <c r="A62" t="s">
        <v>15</v>
      </c>
    </row>
    <row r="63" spans="1:1" x14ac:dyDescent="0.25">
      <c r="A63" t="s">
        <v>65</v>
      </c>
    </row>
    <row r="67" spans="1:1" x14ac:dyDescent="0.25">
      <c r="A67" s="54"/>
    </row>
    <row r="68" spans="1:1" x14ac:dyDescent="0.25">
      <c r="A68" s="55" t="s">
        <v>9</v>
      </c>
    </row>
    <row r="69" spans="1:1" x14ac:dyDescent="0.25">
      <c r="A69" s="55" t="s">
        <v>11</v>
      </c>
    </row>
    <row r="70" spans="1:1" x14ac:dyDescent="0.25">
      <c r="A70" s="55" t="s">
        <v>14</v>
      </c>
    </row>
    <row r="71" spans="1:1" x14ac:dyDescent="0.25">
      <c r="A71" s="55" t="s">
        <v>16</v>
      </c>
    </row>
    <row r="72" spans="1:1" x14ac:dyDescent="0.25">
      <c r="A72" s="55" t="s">
        <v>18</v>
      </c>
    </row>
    <row r="73" spans="1:1" x14ac:dyDescent="0.25">
      <c r="A73" s="55" t="s">
        <v>20</v>
      </c>
    </row>
    <row r="74" spans="1:1" x14ac:dyDescent="0.25">
      <c r="A74" s="55"/>
    </row>
    <row r="77" spans="1:1" x14ac:dyDescent="0.25">
      <c r="A77" s="39" t="s">
        <v>66</v>
      </c>
    </row>
    <row r="78" spans="1:1" x14ac:dyDescent="0.25">
      <c r="A78" t="s">
        <v>8</v>
      </c>
    </row>
    <row r="79" spans="1:1" x14ac:dyDescent="0.25">
      <c r="A79" t="s">
        <v>10</v>
      </c>
    </row>
    <row r="80" spans="1:1" x14ac:dyDescent="0.25">
      <c r="A80" t="s">
        <v>35</v>
      </c>
    </row>
    <row r="81" spans="1:1" x14ac:dyDescent="0.25">
      <c r="A81" t="s">
        <v>15</v>
      </c>
    </row>
    <row r="82" spans="1:1" x14ac:dyDescent="0.25">
      <c r="A82" t="s">
        <v>67</v>
      </c>
    </row>
    <row r="83" spans="1:1" x14ac:dyDescent="0.25">
      <c r="A83" t="s">
        <v>37</v>
      </c>
    </row>
    <row r="84" spans="1:1" x14ac:dyDescent="0.25">
      <c r="A84" t="s">
        <v>60</v>
      </c>
    </row>
    <row r="85" spans="1:1" x14ac:dyDescent="0.25">
      <c r="A85" t="s">
        <v>39</v>
      </c>
    </row>
    <row r="86" spans="1:1" x14ac:dyDescent="0.25">
      <c r="A86" s="54" t="s">
        <v>85</v>
      </c>
    </row>
    <row r="87" spans="1:1" x14ac:dyDescent="0.25">
      <c r="A87" s="55" t="s">
        <v>9</v>
      </c>
    </row>
    <row r="88" spans="1:1" x14ac:dyDescent="0.25">
      <c r="A88" s="55" t="s">
        <v>11</v>
      </c>
    </row>
    <row r="89" spans="1:1" x14ac:dyDescent="0.25">
      <c r="A89" s="55" t="s">
        <v>14</v>
      </c>
    </row>
    <row r="90" spans="1:1" x14ac:dyDescent="0.25">
      <c r="A90" s="55" t="s">
        <v>16</v>
      </c>
    </row>
    <row r="91" spans="1:1" x14ac:dyDescent="0.25">
      <c r="A91" s="55" t="s">
        <v>18</v>
      </c>
    </row>
    <row r="92" spans="1:1" x14ac:dyDescent="0.25">
      <c r="A92" s="55" t="s">
        <v>20</v>
      </c>
    </row>
    <row r="93" spans="1:1" x14ac:dyDescent="0.25">
      <c r="A93" s="55"/>
    </row>
    <row r="94" spans="1:1" x14ac:dyDescent="0.25">
      <c r="A94" s="56"/>
    </row>
    <row r="95" spans="1:1" x14ac:dyDescent="0.25">
      <c r="A95" s="57"/>
    </row>
    <row r="104" spans="1:1" x14ac:dyDescent="0.25">
      <c r="A104" s="39"/>
    </row>
    <row r="113" spans="1:1" x14ac:dyDescent="0.25">
      <c r="A113" s="54"/>
    </row>
    <row r="114" spans="1:1" x14ac:dyDescent="0.25">
      <c r="A114" s="47"/>
    </row>
    <row r="115" spans="1:1" x14ac:dyDescent="0.25">
      <c r="A115" s="48"/>
    </row>
    <row r="116" spans="1:1" x14ac:dyDescent="0.25">
      <c r="A116" s="47"/>
    </row>
    <row r="117" spans="1:1" x14ac:dyDescent="0.25">
      <c r="A117" s="48"/>
    </row>
    <row r="118" spans="1:1" x14ac:dyDescent="0.25">
      <c r="A118" s="47"/>
    </row>
    <row r="119" spans="1:1" x14ac:dyDescent="0.25">
      <c r="A119" s="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Main</vt:lpstr>
      <vt:lpstr>DB</vt:lpstr>
      <vt:lpstr>גיבויים</vt:lpstr>
      <vt:lpstr>עדכונים ואירועים(העברת משמרת)</vt:lpstr>
      <vt:lpstr>FYI</vt:lpstr>
      <vt:lpstr>עבודות מתוכננות</vt:lpstr>
      <vt:lpstr>Tasks</vt:lpstr>
      <vt:lpstr>'עבודות מתוכננות'!currentmonth</vt:lpstr>
      <vt:lpstr>'עבודות מתוכננות'!currentyear</vt:lpstr>
      <vt:lpstr>'עבודות מתוכננות'!firstday</vt:lpstr>
      <vt:lpstr>'עבודות מתוכננות'!lastday</vt:lpstr>
      <vt:lpstr>'עבודות מתוכננות'!Print_Area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Gordnitsky</dc:creator>
  <cp:keywords/>
  <dc:description/>
  <cp:lastModifiedBy>Daniel Gordnitsky</cp:lastModifiedBy>
  <cp:revision/>
  <dcterms:created xsi:type="dcterms:W3CDTF">2015-06-05T18:17:20Z</dcterms:created>
  <dcterms:modified xsi:type="dcterms:W3CDTF">2025-04-01T00:59:07Z</dcterms:modified>
  <cp:category/>
  <cp:contentStatus/>
</cp:coreProperties>
</file>